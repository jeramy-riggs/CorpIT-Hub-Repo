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auctiondotcom.sharepoint.com/sites/InfoSec-GRC/Shared Documents/INFOSEC/AI Security/"/>
    </mc:Choice>
  </mc:AlternateContent>
  <xr:revisionPtr revIDLastSave="0" documentId="8_{593252C6-4863-453F-8297-E409F671D6A2}" xr6:coauthVersionLast="47" xr6:coauthVersionMax="47" xr10:uidLastSave="{00000000-0000-0000-0000-000000000000}"/>
  <bookViews>
    <workbookView minimized="1" xWindow="6840" yWindow="680" windowWidth="27720" windowHeight="19960" tabRatio="500" activeTab="1" xr2:uid="{00000000-000D-0000-FFFF-FFFF00000000}"/>
  </bookViews>
  <sheets>
    <sheet name="Instructions" sheetId="1" r:id="rId1"/>
    <sheet name="Inventory" sheetId="2" r:id="rId2"/>
    <sheet name="Field Guide" sheetId="3" r:id="rId3"/>
    <sheet name="Summary" sheetId="4" r:id="rId4"/>
  </sheets>
  <definedNames>
    <definedName name="_xlnm._FilterDatabase" localSheetId="1" hidden="1">Inventory!$A$4:$AS$505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1" i="4" l="1"/>
  <c r="C40" i="4"/>
  <c r="C39" i="4"/>
  <c r="C38" i="4"/>
  <c r="C35" i="4"/>
  <c r="C34" i="4"/>
  <c r="C33" i="4"/>
  <c r="C29" i="4"/>
  <c r="C28" i="4"/>
  <c r="C27" i="4"/>
  <c r="C26" i="4"/>
  <c r="C25" i="4"/>
  <c r="C24" i="4"/>
  <c r="C23" i="4"/>
  <c r="C22" i="4"/>
  <c r="C21" i="4"/>
  <c r="C18" i="4"/>
  <c r="C17" i="4"/>
  <c r="C16" i="4"/>
  <c r="C15" i="4"/>
  <c r="C14" i="4"/>
  <c r="C11" i="4"/>
  <c r="C10" i="4"/>
  <c r="C9" i="4"/>
  <c r="C8" i="4"/>
  <c r="C4" i="4"/>
  <c r="AR505" i="2"/>
  <c r="AM505" i="2"/>
  <c r="AK505" i="2"/>
  <c r="AR504" i="2"/>
  <c r="AM504" i="2"/>
  <c r="AK504" i="2"/>
  <c r="AR503" i="2"/>
  <c r="AM503" i="2"/>
  <c r="AK503" i="2"/>
  <c r="AR502" i="2"/>
  <c r="AM502" i="2"/>
  <c r="AK502" i="2"/>
  <c r="AR501" i="2"/>
  <c r="AM501" i="2"/>
  <c r="AK501" i="2"/>
  <c r="AR500" i="2"/>
  <c r="AM500" i="2"/>
  <c r="AK500" i="2"/>
  <c r="AR499" i="2"/>
  <c r="AM499" i="2"/>
  <c r="AK499" i="2"/>
  <c r="AR498" i="2"/>
  <c r="AM498" i="2"/>
  <c r="AK498" i="2"/>
  <c r="AR497" i="2"/>
  <c r="AM497" i="2"/>
  <c r="AK497" i="2"/>
  <c r="AR496" i="2"/>
  <c r="AM496" i="2"/>
  <c r="AK496" i="2"/>
  <c r="AR495" i="2"/>
  <c r="AM495" i="2"/>
  <c r="AK495" i="2"/>
  <c r="AR494" i="2"/>
  <c r="AM494" i="2"/>
  <c r="AK494" i="2"/>
  <c r="AR493" i="2"/>
  <c r="AM493" i="2"/>
  <c r="AK493" i="2"/>
  <c r="AR492" i="2"/>
  <c r="AM492" i="2"/>
  <c r="AK492" i="2"/>
  <c r="AR491" i="2"/>
  <c r="AM491" i="2"/>
  <c r="AK491" i="2"/>
  <c r="AR490" i="2"/>
  <c r="AM490" i="2"/>
  <c r="AK490" i="2"/>
  <c r="AR489" i="2"/>
  <c r="AM489" i="2"/>
  <c r="AK489" i="2"/>
  <c r="AR488" i="2"/>
  <c r="AM488" i="2"/>
  <c r="AK488" i="2"/>
  <c r="AR487" i="2"/>
  <c r="AM487" i="2"/>
  <c r="AK487" i="2"/>
  <c r="AR486" i="2"/>
  <c r="AM486" i="2"/>
  <c r="AK486" i="2"/>
  <c r="AR485" i="2"/>
  <c r="AM485" i="2"/>
  <c r="AK485" i="2"/>
  <c r="AR484" i="2"/>
  <c r="AM484" i="2"/>
  <c r="AK484" i="2"/>
  <c r="AR483" i="2"/>
  <c r="AM483" i="2"/>
  <c r="AK483" i="2"/>
  <c r="AR482" i="2"/>
  <c r="AM482" i="2"/>
  <c r="AK482" i="2"/>
  <c r="AR481" i="2"/>
  <c r="AM481" i="2"/>
  <c r="AK481" i="2"/>
  <c r="AR480" i="2"/>
  <c r="AM480" i="2"/>
  <c r="AK480" i="2"/>
  <c r="AR479" i="2"/>
  <c r="AM479" i="2"/>
  <c r="AK479" i="2"/>
  <c r="AR478" i="2"/>
  <c r="AM478" i="2"/>
  <c r="AK478" i="2"/>
  <c r="AR477" i="2"/>
  <c r="AM477" i="2"/>
  <c r="AK477" i="2"/>
  <c r="AR476" i="2"/>
  <c r="AM476" i="2"/>
  <c r="AK476" i="2"/>
  <c r="AR475" i="2"/>
  <c r="AM475" i="2"/>
  <c r="AK475" i="2"/>
  <c r="AR474" i="2"/>
  <c r="AM474" i="2"/>
  <c r="AK474" i="2"/>
  <c r="AR473" i="2"/>
  <c r="AM473" i="2"/>
  <c r="AK473" i="2"/>
  <c r="AR472" i="2"/>
  <c r="AM472" i="2"/>
  <c r="AK472" i="2"/>
  <c r="AR471" i="2"/>
  <c r="AM471" i="2"/>
  <c r="AK471" i="2"/>
  <c r="AR470" i="2"/>
  <c r="AM470" i="2"/>
  <c r="AK470" i="2"/>
  <c r="AR469" i="2"/>
  <c r="AM469" i="2"/>
  <c r="AK469" i="2"/>
  <c r="AR468" i="2"/>
  <c r="AM468" i="2"/>
  <c r="AK468" i="2"/>
  <c r="AR467" i="2"/>
  <c r="AM467" i="2"/>
  <c r="AK467" i="2"/>
  <c r="AR466" i="2"/>
  <c r="AM466" i="2"/>
  <c r="AK466" i="2"/>
  <c r="AR465" i="2"/>
  <c r="AM465" i="2"/>
  <c r="AK465" i="2"/>
  <c r="AR464" i="2"/>
  <c r="AM464" i="2"/>
  <c r="AK464" i="2"/>
  <c r="AR463" i="2"/>
  <c r="AM463" i="2"/>
  <c r="AK463" i="2"/>
  <c r="AR462" i="2"/>
  <c r="AM462" i="2"/>
  <c r="AK462" i="2"/>
  <c r="AR461" i="2"/>
  <c r="AM461" i="2"/>
  <c r="AK461" i="2"/>
  <c r="AR460" i="2"/>
  <c r="AM460" i="2"/>
  <c r="AK460" i="2"/>
  <c r="AR459" i="2"/>
  <c r="AM459" i="2"/>
  <c r="AK459" i="2"/>
  <c r="AR458" i="2"/>
  <c r="AM458" i="2"/>
  <c r="AK458" i="2"/>
  <c r="AR457" i="2"/>
  <c r="AM457" i="2"/>
  <c r="AK457" i="2"/>
  <c r="AR456" i="2"/>
  <c r="AM456" i="2"/>
  <c r="AK456" i="2"/>
  <c r="AR455" i="2"/>
  <c r="AM455" i="2"/>
  <c r="AK455" i="2"/>
  <c r="AR454" i="2"/>
  <c r="AM454" i="2"/>
  <c r="AK454" i="2"/>
  <c r="AR453" i="2"/>
  <c r="AM453" i="2"/>
  <c r="AK453" i="2"/>
  <c r="AR452" i="2"/>
  <c r="AM452" i="2"/>
  <c r="AK452" i="2"/>
  <c r="AR451" i="2"/>
  <c r="AM451" i="2"/>
  <c r="AK451" i="2"/>
  <c r="AR450" i="2"/>
  <c r="AM450" i="2"/>
  <c r="AK450" i="2"/>
  <c r="AR449" i="2"/>
  <c r="AM449" i="2"/>
  <c r="AK449" i="2"/>
  <c r="AR448" i="2"/>
  <c r="AM448" i="2"/>
  <c r="AK448" i="2"/>
  <c r="AR447" i="2"/>
  <c r="AM447" i="2"/>
  <c r="AK447" i="2"/>
  <c r="AR446" i="2"/>
  <c r="AM446" i="2"/>
  <c r="AK446" i="2"/>
  <c r="AR445" i="2"/>
  <c r="AM445" i="2"/>
  <c r="AK445" i="2"/>
  <c r="AR444" i="2"/>
  <c r="AM444" i="2"/>
  <c r="AK444" i="2"/>
  <c r="AR443" i="2"/>
  <c r="AM443" i="2"/>
  <c r="AK443" i="2"/>
  <c r="AR442" i="2"/>
  <c r="AM442" i="2"/>
  <c r="AK442" i="2"/>
  <c r="AR441" i="2"/>
  <c r="AM441" i="2"/>
  <c r="AK441" i="2"/>
  <c r="AR440" i="2"/>
  <c r="AM440" i="2"/>
  <c r="AK440" i="2"/>
  <c r="AR439" i="2"/>
  <c r="AM439" i="2"/>
  <c r="AK439" i="2"/>
  <c r="AR438" i="2"/>
  <c r="AM438" i="2"/>
  <c r="AK438" i="2"/>
  <c r="AR437" i="2"/>
  <c r="AM437" i="2"/>
  <c r="AK437" i="2"/>
  <c r="AR436" i="2"/>
  <c r="AM436" i="2"/>
  <c r="AK436" i="2"/>
  <c r="AR435" i="2"/>
  <c r="AM435" i="2"/>
  <c r="AK435" i="2"/>
  <c r="AR434" i="2"/>
  <c r="AM434" i="2"/>
  <c r="AK434" i="2"/>
  <c r="AR433" i="2"/>
  <c r="AM433" i="2"/>
  <c r="AK433" i="2"/>
  <c r="AR432" i="2"/>
  <c r="AM432" i="2"/>
  <c r="AK432" i="2"/>
  <c r="AR431" i="2"/>
  <c r="AM431" i="2"/>
  <c r="AK431" i="2"/>
  <c r="AR430" i="2"/>
  <c r="AM430" i="2"/>
  <c r="AK430" i="2"/>
  <c r="AR429" i="2"/>
  <c r="AM429" i="2"/>
  <c r="AK429" i="2"/>
  <c r="AR428" i="2"/>
  <c r="AM428" i="2"/>
  <c r="AK428" i="2"/>
  <c r="AR427" i="2"/>
  <c r="AM427" i="2"/>
  <c r="AK427" i="2"/>
  <c r="AR426" i="2"/>
  <c r="AM426" i="2"/>
  <c r="AK426" i="2"/>
  <c r="AR425" i="2"/>
  <c r="AM425" i="2"/>
  <c r="AK425" i="2"/>
  <c r="AR424" i="2"/>
  <c r="AM424" i="2"/>
  <c r="AK424" i="2"/>
  <c r="AR423" i="2"/>
  <c r="AM423" i="2"/>
  <c r="AK423" i="2"/>
  <c r="AR422" i="2"/>
  <c r="AM422" i="2"/>
  <c r="AK422" i="2"/>
  <c r="AR421" i="2"/>
  <c r="AM421" i="2"/>
  <c r="AK421" i="2"/>
  <c r="AR420" i="2"/>
  <c r="AM420" i="2"/>
  <c r="AK420" i="2"/>
  <c r="AR419" i="2"/>
  <c r="AM419" i="2"/>
  <c r="AK419" i="2"/>
  <c r="AR418" i="2"/>
  <c r="AM418" i="2"/>
  <c r="AK418" i="2"/>
  <c r="AR417" i="2"/>
  <c r="AM417" i="2"/>
  <c r="AK417" i="2"/>
  <c r="AR416" i="2"/>
  <c r="AM416" i="2"/>
  <c r="AK416" i="2"/>
  <c r="AR415" i="2"/>
  <c r="AM415" i="2"/>
  <c r="AK415" i="2"/>
  <c r="AR414" i="2"/>
  <c r="AM414" i="2"/>
  <c r="AK414" i="2"/>
  <c r="AR413" i="2"/>
  <c r="AM413" i="2"/>
  <c r="AK413" i="2"/>
  <c r="AR412" i="2"/>
  <c r="AM412" i="2"/>
  <c r="AK412" i="2"/>
  <c r="AR411" i="2"/>
  <c r="AM411" i="2"/>
  <c r="AK411" i="2"/>
  <c r="AR410" i="2"/>
  <c r="AM410" i="2"/>
  <c r="AK410" i="2"/>
  <c r="AR409" i="2"/>
  <c r="AM409" i="2"/>
  <c r="AK409" i="2"/>
  <c r="AR408" i="2"/>
  <c r="AM408" i="2"/>
  <c r="AK408" i="2"/>
  <c r="AR407" i="2"/>
  <c r="AM407" i="2"/>
  <c r="AK407" i="2"/>
  <c r="AR406" i="2"/>
  <c r="AM406" i="2"/>
  <c r="AK406" i="2"/>
  <c r="AR405" i="2"/>
  <c r="AM405" i="2"/>
  <c r="AK405" i="2"/>
  <c r="AR404" i="2"/>
  <c r="AM404" i="2"/>
  <c r="AK404" i="2"/>
  <c r="AR403" i="2"/>
  <c r="AM403" i="2"/>
  <c r="AK403" i="2"/>
  <c r="AR402" i="2"/>
  <c r="AM402" i="2"/>
  <c r="AK402" i="2"/>
  <c r="AR401" i="2"/>
  <c r="AM401" i="2"/>
  <c r="AK401" i="2"/>
  <c r="AR400" i="2"/>
  <c r="AM400" i="2"/>
  <c r="AK400" i="2"/>
  <c r="AR399" i="2"/>
  <c r="AM399" i="2"/>
  <c r="AK399" i="2"/>
  <c r="AR398" i="2"/>
  <c r="AM398" i="2"/>
  <c r="AK398" i="2"/>
  <c r="AR397" i="2"/>
  <c r="AM397" i="2"/>
  <c r="AK397" i="2"/>
  <c r="AR396" i="2"/>
  <c r="AM396" i="2"/>
  <c r="AK396" i="2"/>
  <c r="AR395" i="2"/>
  <c r="AM395" i="2"/>
  <c r="AK395" i="2"/>
  <c r="AR394" i="2"/>
  <c r="AM394" i="2"/>
  <c r="AK394" i="2"/>
  <c r="AR393" i="2"/>
  <c r="AM393" i="2"/>
  <c r="AK393" i="2"/>
  <c r="AR392" i="2"/>
  <c r="AM392" i="2"/>
  <c r="AK392" i="2"/>
  <c r="AR391" i="2"/>
  <c r="AM391" i="2"/>
  <c r="AK391" i="2"/>
  <c r="AR390" i="2"/>
  <c r="AM390" i="2"/>
  <c r="AK390" i="2"/>
  <c r="AR389" i="2"/>
  <c r="AM389" i="2"/>
  <c r="AK389" i="2"/>
  <c r="AR388" i="2"/>
  <c r="AM388" i="2"/>
  <c r="AK388" i="2"/>
  <c r="AR387" i="2"/>
  <c r="AM387" i="2"/>
  <c r="AK387" i="2"/>
  <c r="AR386" i="2"/>
  <c r="AM386" i="2"/>
  <c r="AK386" i="2"/>
  <c r="AR385" i="2"/>
  <c r="AM385" i="2"/>
  <c r="AK385" i="2"/>
  <c r="AR384" i="2"/>
  <c r="AM384" i="2"/>
  <c r="AK384" i="2"/>
  <c r="AR383" i="2"/>
  <c r="AM383" i="2"/>
  <c r="AK383" i="2"/>
  <c r="AR382" i="2"/>
  <c r="AM382" i="2"/>
  <c r="AK382" i="2"/>
  <c r="AR381" i="2"/>
  <c r="AM381" i="2"/>
  <c r="AK381" i="2"/>
  <c r="AR380" i="2"/>
  <c r="AM380" i="2"/>
  <c r="AK380" i="2"/>
  <c r="AR379" i="2"/>
  <c r="AM379" i="2"/>
  <c r="AK379" i="2"/>
  <c r="AR378" i="2"/>
  <c r="AM378" i="2"/>
  <c r="AK378" i="2"/>
  <c r="AR377" i="2"/>
  <c r="AM377" i="2"/>
  <c r="AK377" i="2"/>
  <c r="AR376" i="2"/>
  <c r="AM376" i="2"/>
  <c r="AK376" i="2"/>
  <c r="AR375" i="2"/>
  <c r="AM375" i="2"/>
  <c r="AK375" i="2"/>
  <c r="AR374" i="2"/>
  <c r="AM374" i="2"/>
  <c r="AK374" i="2"/>
  <c r="AR373" i="2"/>
  <c r="AM373" i="2"/>
  <c r="AK373" i="2"/>
  <c r="AR372" i="2"/>
  <c r="AM372" i="2"/>
  <c r="AK372" i="2"/>
  <c r="AR371" i="2"/>
  <c r="AM371" i="2"/>
  <c r="AK371" i="2"/>
  <c r="AR370" i="2"/>
  <c r="AM370" i="2"/>
  <c r="AK370" i="2"/>
  <c r="AR369" i="2"/>
  <c r="AM369" i="2"/>
  <c r="AK369" i="2"/>
  <c r="AR368" i="2"/>
  <c r="AM368" i="2"/>
  <c r="AK368" i="2"/>
  <c r="AR367" i="2"/>
  <c r="AM367" i="2"/>
  <c r="AK367" i="2"/>
  <c r="AR366" i="2"/>
  <c r="AM366" i="2"/>
  <c r="AK366" i="2"/>
  <c r="AR365" i="2"/>
  <c r="AM365" i="2"/>
  <c r="AK365" i="2"/>
  <c r="AR364" i="2"/>
  <c r="AM364" i="2"/>
  <c r="AK364" i="2"/>
  <c r="AR363" i="2"/>
  <c r="AM363" i="2"/>
  <c r="AK363" i="2"/>
  <c r="AR362" i="2"/>
  <c r="AM362" i="2"/>
  <c r="AK362" i="2"/>
  <c r="AR361" i="2"/>
  <c r="AM361" i="2"/>
  <c r="AK361" i="2"/>
  <c r="AR360" i="2"/>
  <c r="AM360" i="2"/>
  <c r="AK360" i="2"/>
  <c r="AR359" i="2"/>
  <c r="AM359" i="2"/>
  <c r="AK359" i="2"/>
  <c r="AR358" i="2"/>
  <c r="AM358" i="2"/>
  <c r="AK358" i="2"/>
  <c r="AR357" i="2"/>
  <c r="AM357" i="2"/>
  <c r="AK357" i="2"/>
  <c r="AR356" i="2"/>
  <c r="AM356" i="2"/>
  <c r="AK356" i="2"/>
  <c r="AR355" i="2"/>
  <c r="AM355" i="2"/>
  <c r="AK355" i="2"/>
  <c r="AR354" i="2"/>
  <c r="AM354" i="2"/>
  <c r="AK354" i="2"/>
  <c r="AR353" i="2"/>
  <c r="AM353" i="2"/>
  <c r="AK353" i="2"/>
  <c r="AR352" i="2"/>
  <c r="AM352" i="2"/>
  <c r="AK352" i="2"/>
  <c r="AR351" i="2"/>
  <c r="AM351" i="2"/>
  <c r="AK351" i="2"/>
  <c r="AR350" i="2"/>
  <c r="AM350" i="2"/>
  <c r="AK350" i="2"/>
  <c r="AR349" i="2"/>
  <c r="AM349" i="2"/>
  <c r="AK349" i="2"/>
  <c r="AR348" i="2"/>
  <c r="AM348" i="2"/>
  <c r="AK348" i="2"/>
  <c r="AR347" i="2"/>
  <c r="AM347" i="2"/>
  <c r="AK347" i="2"/>
  <c r="AR346" i="2"/>
  <c r="AM346" i="2"/>
  <c r="AK346" i="2"/>
  <c r="AR345" i="2"/>
  <c r="AM345" i="2"/>
  <c r="AK345" i="2"/>
  <c r="AR344" i="2"/>
  <c r="AM344" i="2"/>
  <c r="AK344" i="2"/>
  <c r="AR343" i="2"/>
  <c r="AM343" i="2"/>
  <c r="AK343" i="2"/>
  <c r="AR342" i="2"/>
  <c r="AM342" i="2"/>
  <c r="AK342" i="2"/>
  <c r="AR341" i="2"/>
  <c r="AM341" i="2"/>
  <c r="AK341" i="2"/>
  <c r="AR340" i="2"/>
  <c r="AM340" i="2"/>
  <c r="AK340" i="2"/>
  <c r="AR339" i="2"/>
  <c r="AM339" i="2"/>
  <c r="AK339" i="2"/>
  <c r="AR338" i="2"/>
  <c r="AM338" i="2"/>
  <c r="AK338" i="2"/>
  <c r="AR337" i="2"/>
  <c r="AM337" i="2"/>
  <c r="AK337" i="2"/>
  <c r="AR336" i="2"/>
  <c r="AM336" i="2"/>
  <c r="AK336" i="2"/>
  <c r="AR335" i="2"/>
  <c r="AM335" i="2"/>
  <c r="AK335" i="2"/>
  <c r="AR334" i="2"/>
  <c r="AM334" i="2"/>
  <c r="AK334" i="2"/>
  <c r="AR333" i="2"/>
  <c r="AM333" i="2"/>
  <c r="AK333" i="2"/>
  <c r="AR332" i="2"/>
  <c r="AM332" i="2"/>
  <c r="AK332" i="2"/>
  <c r="AR331" i="2"/>
  <c r="AM331" i="2"/>
  <c r="AK331" i="2"/>
  <c r="AR330" i="2"/>
  <c r="AM330" i="2"/>
  <c r="AK330" i="2"/>
  <c r="AR329" i="2"/>
  <c r="AM329" i="2"/>
  <c r="AK329" i="2"/>
  <c r="AR328" i="2"/>
  <c r="AM328" i="2"/>
  <c r="AK328" i="2"/>
  <c r="AR327" i="2"/>
  <c r="AM327" i="2"/>
  <c r="AK327" i="2"/>
  <c r="AR326" i="2"/>
  <c r="AM326" i="2"/>
  <c r="AK326" i="2"/>
  <c r="AR325" i="2"/>
  <c r="AM325" i="2"/>
  <c r="AK325" i="2"/>
  <c r="AR324" i="2"/>
  <c r="AM324" i="2"/>
  <c r="AK324" i="2"/>
  <c r="AR323" i="2"/>
  <c r="AM323" i="2"/>
  <c r="AK323" i="2"/>
  <c r="AR322" i="2"/>
  <c r="AM322" i="2"/>
  <c r="AK322" i="2"/>
  <c r="AR321" i="2"/>
  <c r="AM321" i="2"/>
  <c r="AK321" i="2"/>
  <c r="AR320" i="2"/>
  <c r="AM320" i="2"/>
  <c r="AK320" i="2"/>
  <c r="AR319" i="2"/>
  <c r="AM319" i="2"/>
  <c r="AK319" i="2"/>
  <c r="AR318" i="2"/>
  <c r="AM318" i="2"/>
  <c r="AK318" i="2"/>
  <c r="AR317" i="2"/>
  <c r="AM317" i="2"/>
  <c r="AK317" i="2"/>
  <c r="AR316" i="2"/>
  <c r="AM316" i="2"/>
  <c r="AK316" i="2"/>
  <c r="AR315" i="2"/>
  <c r="AM315" i="2"/>
  <c r="AK315" i="2"/>
  <c r="AR314" i="2"/>
  <c r="AM314" i="2"/>
  <c r="AK314" i="2"/>
  <c r="AR313" i="2"/>
  <c r="AM313" i="2"/>
  <c r="AK313" i="2"/>
  <c r="AR312" i="2"/>
  <c r="AM312" i="2"/>
  <c r="AK312" i="2"/>
  <c r="AR311" i="2"/>
  <c r="AM311" i="2"/>
  <c r="AK311" i="2"/>
  <c r="AR310" i="2"/>
  <c r="AM310" i="2"/>
  <c r="AK310" i="2"/>
  <c r="AR309" i="2"/>
  <c r="AM309" i="2"/>
  <c r="AK309" i="2"/>
  <c r="AR308" i="2"/>
  <c r="AM308" i="2"/>
  <c r="AK308" i="2"/>
  <c r="AR307" i="2"/>
  <c r="AM307" i="2"/>
  <c r="AK307" i="2"/>
  <c r="AR306" i="2"/>
  <c r="AM306" i="2"/>
  <c r="AK306" i="2"/>
  <c r="AR305" i="2"/>
  <c r="AM305" i="2"/>
  <c r="AK305" i="2"/>
  <c r="AR304" i="2"/>
  <c r="AM304" i="2"/>
  <c r="AK304" i="2"/>
  <c r="AR303" i="2"/>
  <c r="AM303" i="2"/>
  <c r="AK303" i="2"/>
  <c r="AR302" i="2"/>
  <c r="AM302" i="2"/>
  <c r="AK302" i="2"/>
  <c r="AR301" i="2"/>
  <c r="AM301" i="2"/>
  <c r="AK301" i="2"/>
  <c r="AR300" i="2"/>
  <c r="AM300" i="2"/>
  <c r="AK300" i="2"/>
  <c r="AR299" i="2"/>
  <c r="AM299" i="2"/>
  <c r="AK299" i="2"/>
  <c r="AR298" i="2"/>
  <c r="AM298" i="2"/>
  <c r="AK298" i="2"/>
  <c r="AR297" i="2"/>
  <c r="AM297" i="2"/>
  <c r="AK297" i="2"/>
  <c r="AR296" i="2"/>
  <c r="AM296" i="2"/>
  <c r="AK296" i="2"/>
  <c r="AR295" i="2"/>
  <c r="AM295" i="2"/>
  <c r="AK295" i="2"/>
  <c r="AR294" i="2"/>
  <c r="AM294" i="2"/>
  <c r="AK294" i="2"/>
  <c r="AR293" i="2"/>
  <c r="AM293" i="2"/>
  <c r="AK293" i="2"/>
  <c r="AR292" i="2"/>
  <c r="AM292" i="2"/>
  <c r="AK292" i="2"/>
  <c r="AR291" i="2"/>
  <c r="AM291" i="2"/>
  <c r="AK291" i="2"/>
  <c r="AR290" i="2"/>
  <c r="AM290" i="2"/>
  <c r="AK290" i="2"/>
  <c r="AR289" i="2"/>
  <c r="AM289" i="2"/>
  <c r="AK289" i="2"/>
  <c r="AR288" i="2"/>
  <c r="AM288" i="2"/>
  <c r="AK288" i="2"/>
  <c r="AR287" i="2"/>
  <c r="AM287" i="2"/>
  <c r="AK287" i="2"/>
  <c r="AR286" i="2"/>
  <c r="AM286" i="2"/>
  <c r="AK286" i="2"/>
  <c r="AR285" i="2"/>
  <c r="AM285" i="2"/>
  <c r="AK285" i="2"/>
  <c r="AR284" i="2"/>
  <c r="AM284" i="2"/>
  <c r="AK284" i="2"/>
  <c r="AR283" i="2"/>
  <c r="AM283" i="2"/>
  <c r="AK283" i="2"/>
  <c r="AR282" i="2"/>
  <c r="AM282" i="2"/>
  <c r="AK282" i="2"/>
  <c r="AR281" i="2"/>
  <c r="AM281" i="2"/>
  <c r="AK281" i="2"/>
  <c r="AR280" i="2"/>
  <c r="AM280" i="2"/>
  <c r="AK280" i="2"/>
  <c r="AR279" i="2"/>
  <c r="AM279" i="2"/>
  <c r="AK279" i="2"/>
  <c r="AR278" i="2"/>
  <c r="AM278" i="2"/>
  <c r="AK278" i="2"/>
  <c r="AR277" i="2"/>
  <c r="AM277" i="2"/>
  <c r="AK277" i="2"/>
  <c r="AR276" i="2"/>
  <c r="AM276" i="2"/>
  <c r="AK276" i="2"/>
  <c r="AR275" i="2"/>
  <c r="AM275" i="2"/>
  <c r="AK275" i="2"/>
  <c r="AR274" i="2"/>
  <c r="AM274" i="2"/>
  <c r="AK274" i="2"/>
  <c r="AR273" i="2"/>
  <c r="AM273" i="2"/>
  <c r="AK273" i="2"/>
  <c r="AR272" i="2"/>
  <c r="AM272" i="2"/>
  <c r="AK272" i="2"/>
  <c r="AR271" i="2"/>
  <c r="AM271" i="2"/>
  <c r="AK271" i="2"/>
  <c r="AR270" i="2"/>
  <c r="AM270" i="2"/>
  <c r="AK270" i="2"/>
  <c r="AR269" i="2"/>
  <c r="AM269" i="2"/>
  <c r="AK269" i="2"/>
  <c r="AR268" i="2"/>
  <c r="AM268" i="2"/>
  <c r="AK268" i="2"/>
  <c r="AR267" i="2"/>
  <c r="AM267" i="2"/>
  <c r="AK267" i="2"/>
  <c r="AR266" i="2"/>
  <c r="AM266" i="2"/>
  <c r="AK266" i="2"/>
  <c r="AR265" i="2"/>
  <c r="AM265" i="2"/>
  <c r="AK265" i="2"/>
  <c r="AR264" i="2"/>
  <c r="AM264" i="2"/>
  <c r="AK264" i="2"/>
  <c r="AR263" i="2"/>
  <c r="AM263" i="2"/>
  <c r="AK263" i="2"/>
  <c r="AR262" i="2"/>
  <c r="AM262" i="2"/>
  <c r="AK262" i="2"/>
  <c r="AR261" i="2"/>
  <c r="AM261" i="2"/>
  <c r="AK261" i="2"/>
  <c r="AR260" i="2"/>
  <c r="AM260" i="2"/>
  <c r="AK260" i="2"/>
  <c r="AR259" i="2"/>
  <c r="AM259" i="2"/>
  <c r="AK259" i="2"/>
  <c r="AR258" i="2"/>
  <c r="AM258" i="2"/>
  <c r="AK258" i="2"/>
  <c r="AR257" i="2"/>
  <c r="AM257" i="2"/>
  <c r="AK257" i="2"/>
  <c r="AR256" i="2"/>
  <c r="AM256" i="2"/>
  <c r="AK256" i="2"/>
  <c r="AR255" i="2"/>
  <c r="AM255" i="2"/>
  <c r="AK255" i="2"/>
  <c r="AR254" i="2"/>
  <c r="AM254" i="2"/>
  <c r="AK254" i="2"/>
  <c r="AR253" i="2"/>
  <c r="AM253" i="2"/>
  <c r="AK253" i="2"/>
  <c r="AR252" i="2"/>
  <c r="AM252" i="2"/>
  <c r="AK252" i="2"/>
  <c r="AR251" i="2"/>
  <c r="AM251" i="2"/>
  <c r="AK251" i="2"/>
  <c r="AR250" i="2"/>
  <c r="AM250" i="2"/>
  <c r="AK250" i="2"/>
  <c r="AR249" i="2"/>
  <c r="AM249" i="2"/>
  <c r="AK249" i="2"/>
  <c r="AR248" i="2"/>
  <c r="AM248" i="2"/>
  <c r="AK248" i="2"/>
  <c r="AR247" i="2"/>
  <c r="AM247" i="2"/>
  <c r="AK247" i="2"/>
  <c r="AR246" i="2"/>
  <c r="AM246" i="2"/>
  <c r="AK246" i="2"/>
  <c r="AR245" i="2"/>
  <c r="AM245" i="2"/>
  <c r="AK245" i="2"/>
  <c r="AR244" i="2"/>
  <c r="AM244" i="2"/>
  <c r="AK244" i="2"/>
  <c r="AR243" i="2"/>
  <c r="AM243" i="2"/>
  <c r="AK243" i="2"/>
  <c r="AR242" i="2"/>
  <c r="AM242" i="2"/>
  <c r="AK242" i="2"/>
  <c r="AR241" i="2"/>
  <c r="AM241" i="2"/>
  <c r="AK241" i="2"/>
  <c r="AR240" i="2"/>
  <c r="AM240" i="2"/>
  <c r="AK240" i="2"/>
  <c r="AR239" i="2"/>
  <c r="AM239" i="2"/>
  <c r="AK239" i="2"/>
  <c r="AR238" i="2"/>
  <c r="AM238" i="2"/>
  <c r="AK238" i="2"/>
  <c r="AR237" i="2"/>
  <c r="AM237" i="2"/>
  <c r="AK237" i="2"/>
  <c r="AR236" i="2"/>
  <c r="AM236" i="2"/>
  <c r="AK236" i="2"/>
  <c r="AR235" i="2"/>
  <c r="AM235" i="2"/>
  <c r="AK235" i="2"/>
  <c r="AR234" i="2"/>
  <c r="AM234" i="2"/>
  <c r="AK234" i="2"/>
  <c r="AR233" i="2"/>
  <c r="AM233" i="2"/>
  <c r="AK233" i="2"/>
  <c r="AR232" i="2"/>
  <c r="AM232" i="2"/>
  <c r="AK232" i="2"/>
  <c r="AR231" i="2"/>
  <c r="AM231" i="2"/>
  <c r="AK231" i="2"/>
  <c r="AR230" i="2"/>
  <c r="AM230" i="2"/>
  <c r="AK230" i="2"/>
  <c r="AR229" i="2"/>
  <c r="AM229" i="2"/>
  <c r="AK229" i="2"/>
  <c r="AR228" i="2"/>
  <c r="AM228" i="2"/>
  <c r="AK228" i="2"/>
  <c r="AR227" i="2"/>
  <c r="AM227" i="2"/>
  <c r="AK227" i="2"/>
  <c r="AR226" i="2"/>
  <c r="AM226" i="2"/>
  <c r="AK226" i="2"/>
  <c r="AR225" i="2"/>
  <c r="AM225" i="2"/>
  <c r="AK225" i="2"/>
  <c r="AR224" i="2"/>
  <c r="AM224" i="2"/>
  <c r="AK224" i="2"/>
  <c r="AR223" i="2"/>
  <c r="AM223" i="2"/>
  <c r="AK223" i="2"/>
  <c r="AR222" i="2"/>
  <c r="AM222" i="2"/>
  <c r="AK222" i="2"/>
  <c r="AR221" i="2"/>
  <c r="AM221" i="2"/>
  <c r="AK221" i="2"/>
  <c r="AR220" i="2"/>
  <c r="AM220" i="2"/>
  <c r="AK220" i="2"/>
  <c r="AR219" i="2"/>
  <c r="AM219" i="2"/>
  <c r="AK219" i="2"/>
  <c r="AR218" i="2"/>
  <c r="AM218" i="2"/>
  <c r="AK218" i="2"/>
  <c r="AR217" i="2"/>
  <c r="AM217" i="2"/>
  <c r="AK217" i="2"/>
  <c r="AR216" i="2"/>
  <c r="AM216" i="2"/>
  <c r="AK216" i="2"/>
  <c r="AR215" i="2"/>
  <c r="AM215" i="2"/>
  <c r="AK215" i="2"/>
  <c r="AR214" i="2"/>
  <c r="AM214" i="2"/>
  <c r="AK214" i="2"/>
  <c r="AR213" i="2"/>
  <c r="AM213" i="2"/>
  <c r="AK213" i="2"/>
  <c r="AR212" i="2"/>
  <c r="AM212" i="2"/>
  <c r="AK212" i="2"/>
  <c r="AR211" i="2"/>
  <c r="AM211" i="2"/>
  <c r="AK211" i="2"/>
  <c r="AR210" i="2"/>
  <c r="AM210" i="2"/>
  <c r="AK210" i="2"/>
  <c r="AR209" i="2"/>
  <c r="AM209" i="2"/>
  <c r="AK209" i="2"/>
  <c r="AR208" i="2"/>
  <c r="AM208" i="2"/>
  <c r="AK208" i="2"/>
  <c r="AR207" i="2"/>
  <c r="AM207" i="2"/>
  <c r="AK207" i="2"/>
  <c r="AR206" i="2"/>
  <c r="AM206" i="2"/>
  <c r="AK206" i="2"/>
  <c r="AR205" i="2"/>
  <c r="AM205" i="2"/>
  <c r="AK205" i="2"/>
  <c r="AR204" i="2"/>
  <c r="AM204" i="2"/>
  <c r="AK204" i="2"/>
  <c r="AR203" i="2"/>
  <c r="AM203" i="2"/>
  <c r="AK203" i="2"/>
  <c r="AR202" i="2"/>
  <c r="AM202" i="2"/>
  <c r="AK202" i="2"/>
  <c r="AR201" i="2"/>
  <c r="AM201" i="2"/>
  <c r="AK201" i="2"/>
  <c r="AR200" i="2"/>
  <c r="AM200" i="2"/>
  <c r="AK200" i="2"/>
  <c r="AR199" i="2"/>
  <c r="AM199" i="2"/>
  <c r="AK199" i="2"/>
  <c r="AR198" i="2"/>
  <c r="AM198" i="2"/>
  <c r="AK198" i="2"/>
  <c r="AR197" i="2"/>
  <c r="AM197" i="2"/>
  <c r="AK197" i="2"/>
  <c r="AR196" i="2"/>
  <c r="AM196" i="2"/>
  <c r="AK196" i="2"/>
  <c r="AR195" i="2"/>
  <c r="AM195" i="2"/>
  <c r="AK195" i="2"/>
  <c r="AR194" i="2"/>
  <c r="AM194" i="2"/>
  <c r="AK194" i="2"/>
  <c r="AR193" i="2"/>
  <c r="AM193" i="2"/>
  <c r="AK193" i="2"/>
  <c r="AR192" i="2"/>
  <c r="AM192" i="2"/>
  <c r="AK192" i="2"/>
  <c r="AR191" i="2"/>
  <c r="AM191" i="2"/>
  <c r="AK191" i="2"/>
  <c r="AR190" i="2"/>
  <c r="AM190" i="2"/>
  <c r="AK190" i="2"/>
  <c r="AR189" i="2"/>
  <c r="AM189" i="2"/>
  <c r="AK189" i="2"/>
  <c r="AR188" i="2"/>
  <c r="AM188" i="2"/>
  <c r="AK188" i="2"/>
  <c r="AR187" i="2"/>
  <c r="AM187" i="2"/>
  <c r="AK187" i="2"/>
  <c r="AR186" i="2"/>
  <c r="AM186" i="2"/>
  <c r="AK186" i="2"/>
  <c r="AR185" i="2"/>
  <c r="AM185" i="2"/>
  <c r="AK185" i="2"/>
  <c r="AR184" i="2"/>
  <c r="AM184" i="2"/>
  <c r="AK184" i="2"/>
  <c r="AR183" i="2"/>
  <c r="AM183" i="2"/>
  <c r="AK183" i="2"/>
  <c r="AR182" i="2"/>
  <c r="AM182" i="2"/>
  <c r="AK182" i="2"/>
  <c r="AR181" i="2"/>
  <c r="AM181" i="2"/>
  <c r="AK181" i="2"/>
  <c r="AR180" i="2"/>
  <c r="AM180" i="2"/>
  <c r="AK180" i="2"/>
  <c r="AR179" i="2"/>
  <c r="AM179" i="2"/>
  <c r="AK179" i="2"/>
  <c r="AR178" i="2"/>
  <c r="AM178" i="2"/>
  <c r="AK178" i="2"/>
  <c r="AR177" i="2"/>
  <c r="AM177" i="2"/>
  <c r="AK177" i="2"/>
  <c r="AR176" i="2"/>
  <c r="AM176" i="2"/>
  <c r="AK176" i="2"/>
  <c r="AR175" i="2"/>
  <c r="AM175" i="2"/>
  <c r="AK175" i="2"/>
  <c r="AR174" i="2"/>
  <c r="AM174" i="2"/>
  <c r="AK174" i="2"/>
  <c r="AR173" i="2"/>
  <c r="AM173" i="2"/>
  <c r="AK173" i="2"/>
  <c r="AR172" i="2"/>
  <c r="AM172" i="2"/>
  <c r="AK172" i="2"/>
  <c r="AR171" i="2"/>
  <c r="AM171" i="2"/>
  <c r="AK171" i="2"/>
  <c r="AR170" i="2"/>
  <c r="AM170" i="2"/>
  <c r="AK170" i="2"/>
  <c r="AR169" i="2"/>
  <c r="AM169" i="2"/>
  <c r="AK169" i="2"/>
  <c r="AR168" i="2"/>
  <c r="AM168" i="2"/>
  <c r="AK168" i="2"/>
  <c r="AR167" i="2"/>
  <c r="AM167" i="2"/>
  <c r="AK167" i="2"/>
  <c r="AR166" i="2"/>
  <c r="AM166" i="2"/>
  <c r="AK166" i="2"/>
  <c r="AR165" i="2"/>
  <c r="AM165" i="2"/>
  <c r="AK165" i="2"/>
  <c r="AR164" i="2"/>
  <c r="AM164" i="2"/>
  <c r="AK164" i="2"/>
  <c r="AR163" i="2"/>
  <c r="AM163" i="2"/>
  <c r="AK163" i="2"/>
  <c r="AR162" i="2"/>
  <c r="AM162" i="2"/>
  <c r="AK162" i="2"/>
  <c r="AR161" i="2"/>
  <c r="AM161" i="2"/>
  <c r="AK161" i="2"/>
  <c r="AR160" i="2"/>
  <c r="AM160" i="2"/>
  <c r="AK160" i="2"/>
  <c r="AR159" i="2"/>
  <c r="AM159" i="2"/>
  <c r="AK159" i="2"/>
  <c r="AR158" i="2"/>
  <c r="AM158" i="2"/>
  <c r="AK158" i="2"/>
  <c r="AR157" i="2"/>
  <c r="AM157" i="2"/>
  <c r="AK157" i="2"/>
  <c r="AR156" i="2"/>
  <c r="AM156" i="2"/>
  <c r="AK156" i="2"/>
  <c r="AR155" i="2"/>
  <c r="AM155" i="2"/>
  <c r="AK155" i="2"/>
  <c r="AR154" i="2"/>
  <c r="AM154" i="2"/>
  <c r="AK154" i="2"/>
  <c r="AR153" i="2"/>
  <c r="AM153" i="2"/>
  <c r="AK153" i="2"/>
  <c r="AR152" i="2"/>
  <c r="AM152" i="2"/>
  <c r="AK152" i="2"/>
  <c r="AR151" i="2"/>
  <c r="AM151" i="2"/>
  <c r="AK151" i="2"/>
  <c r="AR150" i="2"/>
  <c r="AM150" i="2"/>
  <c r="AK150" i="2"/>
  <c r="AR149" i="2"/>
  <c r="AM149" i="2"/>
  <c r="AK149" i="2"/>
  <c r="AR148" i="2"/>
  <c r="AM148" i="2"/>
  <c r="AK148" i="2"/>
  <c r="AR147" i="2"/>
  <c r="AM147" i="2"/>
  <c r="AK147" i="2"/>
  <c r="AR146" i="2"/>
  <c r="AM146" i="2"/>
  <c r="AK146" i="2"/>
  <c r="AR145" i="2"/>
  <c r="AM145" i="2"/>
  <c r="AK145" i="2"/>
  <c r="AR144" i="2"/>
  <c r="AM144" i="2"/>
  <c r="AK144" i="2"/>
  <c r="AR143" i="2"/>
  <c r="AM143" i="2"/>
  <c r="AK143" i="2"/>
  <c r="AR142" i="2"/>
  <c r="AM142" i="2"/>
  <c r="AK142" i="2"/>
  <c r="AR141" i="2"/>
  <c r="AM141" i="2"/>
  <c r="AK141" i="2"/>
  <c r="AR140" i="2"/>
  <c r="AM140" i="2"/>
  <c r="AK140" i="2"/>
  <c r="AR139" i="2"/>
  <c r="AM139" i="2"/>
  <c r="AK139" i="2"/>
  <c r="AR138" i="2"/>
  <c r="AM138" i="2"/>
  <c r="AK138" i="2"/>
  <c r="AR137" i="2"/>
  <c r="AM137" i="2"/>
  <c r="AK137" i="2"/>
  <c r="AR136" i="2"/>
  <c r="AM136" i="2"/>
  <c r="AK136" i="2"/>
  <c r="AR135" i="2"/>
  <c r="AM135" i="2"/>
  <c r="AK135" i="2"/>
  <c r="AR134" i="2"/>
  <c r="AM134" i="2"/>
  <c r="AK134" i="2"/>
  <c r="AR133" i="2"/>
  <c r="AM133" i="2"/>
  <c r="AK133" i="2"/>
  <c r="AR132" i="2"/>
  <c r="AM132" i="2"/>
  <c r="AK132" i="2"/>
  <c r="AR131" i="2"/>
  <c r="AM131" i="2"/>
  <c r="AK131" i="2"/>
  <c r="AR130" i="2"/>
  <c r="AM130" i="2"/>
  <c r="AK130" i="2"/>
  <c r="AR129" i="2"/>
  <c r="AM129" i="2"/>
  <c r="AK129" i="2"/>
  <c r="AR128" i="2"/>
  <c r="AM128" i="2"/>
  <c r="AK128" i="2"/>
  <c r="AR127" i="2"/>
  <c r="AM127" i="2"/>
  <c r="AK127" i="2"/>
  <c r="AR126" i="2"/>
  <c r="AM126" i="2"/>
  <c r="AK126" i="2"/>
  <c r="AR125" i="2"/>
  <c r="AM125" i="2"/>
  <c r="AK125" i="2"/>
  <c r="AR124" i="2"/>
  <c r="AM124" i="2"/>
  <c r="AK124" i="2"/>
  <c r="AR123" i="2"/>
  <c r="AM123" i="2"/>
  <c r="AK123" i="2"/>
  <c r="AR122" i="2"/>
  <c r="AM122" i="2"/>
  <c r="AK122" i="2"/>
  <c r="AR121" i="2"/>
  <c r="AM121" i="2"/>
  <c r="AK121" i="2"/>
  <c r="AR120" i="2"/>
  <c r="AM120" i="2"/>
  <c r="AK120" i="2"/>
  <c r="AR119" i="2"/>
  <c r="AM119" i="2"/>
  <c r="AK119" i="2"/>
  <c r="AR118" i="2"/>
  <c r="AM118" i="2"/>
  <c r="AK118" i="2"/>
  <c r="AR117" i="2"/>
  <c r="AM117" i="2"/>
  <c r="AK117" i="2"/>
  <c r="AR116" i="2"/>
  <c r="AM116" i="2"/>
  <c r="AK116" i="2"/>
  <c r="AR115" i="2"/>
  <c r="AM115" i="2"/>
  <c r="AK115" i="2"/>
  <c r="AR114" i="2"/>
  <c r="AM114" i="2"/>
  <c r="AK114" i="2"/>
  <c r="AR113" i="2"/>
  <c r="AM113" i="2"/>
  <c r="AK113" i="2"/>
  <c r="AR112" i="2"/>
  <c r="AM112" i="2"/>
  <c r="AK112" i="2"/>
  <c r="AR111" i="2"/>
  <c r="AM111" i="2"/>
  <c r="AK111" i="2"/>
  <c r="AR110" i="2"/>
  <c r="AM110" i="2"/>
  <c r="AK110" i="2"/>
  <c r="AR109" i="2"/>
  <c r="AM109" i="2"/>
  <c r="AK109" i="2"/>
  <c r="AR108" i="2"/>
  <c r="AM108" i="2"/>
  <c r="AK108" i="2"/>
  <c r="AR107" i="2"/>
  <c r="AM107" i="2"/>
  <c r="AK107" i="2"/>
  <c r="AR106" i="2"/>
  <c r="AM106" i="2"/>
  <c r="AK106" i="2"/>
  <c r="AR105" i="2"/>
  <c r="AM105" i="2"/>
  <c r="AK105" i="2"/>
  <c r="AR104" i="2"/>
  <c r="AM104" i="2"/>
  <c r="AK104" i="2"/>
  <c r="AR103" i="2"/>
  <c r="AM103" i="2"/>
  <c r="AK103" i="2"/>
  <c r="AR102" i="2"/>
  <c r="AM102" i="2"/>
  <c r="AK102" i="2"/>
  <c r="AR101" i="2"/>
  <c r="AM101" i="2"/>
  <c r="AK101" i="2"/>
  <c r="AR100" i="2"/>
  <c r="AM100" i="2"/>
  <c r="AK100" i="2"/>
  <c r="AR99" i="2"/>
  <c r="AM99" i="2"/>
  <c r="AK99" i="2"/>
  <c r="AR98" i="2"/>
  <c r="AM98" i="2"/>
  <c r="AK98" i="2"/>
  <c r="AR97" i="2"/>
  <c r="AM97" i="2"/>
  <c r="AK97" i="2"/>
  <c r="AR96" i="2"/>
  <c r="AM96" i="2"/>
  <c r="AK96" i="2"/>
  <c r="AR95" i="2"/>
  <c r="AM95" i="2"/>
  <c r="AK95" i="2"/>
  <c r="AR94" i="2"/>
  <c r="AM94" i="2"/>
  <c r="AK94" i="2"/>
  <c r="AR93" i="2"/>
  <c r="AM93" i="2"/>
  <c r="AK93" i="2"/>
  <c r="AR92" i="2"/>
  <c r="AM92" i="2"/>
  <c r="AK92" i="2"/>
  <c r="AR91" i="2"/>
  <c r="AM91" i="2"/>
  <c r="AK91" i="2"/>
  <c r="AR90" i="2"/>
  <c r="AM90" i="2"/>
  <c r="AK90" i="2"/>
  <c r="AR89" i="2"/>
  <c r="AM89" i="2"/>
  <c r="AK89" i="2"/>
  <c r="AR88" i="2"/>
  <c r="AM88" i="2"/>
  <c r="AK88" i="2"/>
  <c r="AR87" i="2"/>
  <c r="AM87" i="2"/>
  <c r="AK87" i="2"/>
  <c r="AR86" i="2"/>
  <c r="AM86" i="2"/>
  <c r="AK86" i="2"/>
  <c r="AR85" i="2"/>
  <c r="AM85" i="2"/>
  <c r="AK85" i="2"/>
  <c r="AR84" i="2"/>
  <c r="AM84" i="2"/>
  <c r="AK84" i="2"/>
  <c r="AR83" i="2"/>
  <c r="AM83" i="2"/>
  <c r="AK83" i="2"/>
  <c r="AR82" i="2"/>
  <c r="AM82" i="2"/>
  <c r="AK82" i="2"/>
  <c r="AR81" i="2"/>
  <c r="AM81" i="2"/>
  <c r="AK81" i="2"/>
  <c r="AR80" i="2"/>
  <c r="AM80" i="2"/>
  <c r="AK80" i="2"/>
  <c r="AR79" i="2"/>
  <c r="AM79" i="2"/>
  <c r="AK79" i="2"/>
  <c r="AR78" i="2"/>
  <c r="AM78" i="2"/>
  <c r="AK78" i="2"/>
  <c r="AR77" i="2"/>
  <c r="AM77" i="2"/>
  <c r="AK77" i="2"/>
  <c r="AR76" i="2"/>
  <c r="AM76" i="2"/>
  <c r="AK76" i="2"/>
  <c r="AR75" i="2"/>
  <c r="AM75" i="2"/>
  <c r="AK75" i="2"/>
  <c r="AR74" i="2"/>
  <c r="AM74" i="2"/>
  <c r="AK74" i="2"/>
  <c r="AR73" i="2"/>
  <c r="AM73" i="2"/>
  <c r="AK73" i="2"/>
  <c r="AR72" i="2"/>
  <c r="AM72" i="2"/>
  <c r="AK72" i="2"/>
  <c r="AR71" i="2"/>
  <c r="AM71" i="2"/>
  <c r="AK71" i="2"/>
  <c r="AR70" i="2"/>
  <c r="AM70" i="2"/>
  <c r="AK70" i="2"/>
  <c r="AR69" i="2"/>
  <c r="AM69" i="2"/>
  <c r="AK69" i="2"/>
  <c r="AR68" i="2"/>
  <c r="AM68" i="2"/>
  <c r="AK68" i="2"/>
  <c r="AR67" i="2"/>
  <c r="AM67" i="2"/>
  <c r="AK67" i="2"/>
  <c r="AR66" i="2"/>
  <c r="AM66" i="2"/>
  <c r="AK66" i="2"/>
  <c r="AR65" i="2"/>
  <c r="AM65" i="2"/>
  <c r="AK65" i="2"/>
  <c r="AR64" i="2"/>
  <c r="AM64" i="2"/>
  <c r="AK64" i="2"/>
  <c r="AR63" i="2"/>
  <c r="AM63" i="2"/>
  <c r="AK63" i="2"/>
  <c r="AR62" i="2"/>
  <c r="AM62" i="2"/>
  <c r="AK62" i="2"/>
  <c r="AR61" i="2"/>
  <c r="AM61" i="2"/>
  <c r="AK61" i="2"/>
  <c r="AR60" i="2"/>
  <c r="AM60" i="2"/>
  <c r="AK60" i="2"/>
  <c r="AR59" i="2"/>
  <c r="AM59" i="2"/>
  <c r="AK59" i="2"/>
  <c r="AR58" i="2"/>
  <c r="AM58" i="2"/>
  <c r="AK58" i="2"/>
  <c r="AR57" i="2"/>
  <c r="AM57" i="2"/>
  <c r="AK57" i="2"/>
  <c r="AR56" i="2"/>
  <c r="AM56" i="2"/>
  <c r="AK56" i="2"/>
  <c r="AR55" i="2"/>
  <c r="AM55" i="2"/>
  <c r="AK55" i="2"/>
  <c r="AR54" i="2"/>
  <c r="AM54" i="2"/>
  <c r="AK54" i="2"/>
  <c r="AR53" i="2"/>
  <c r="AM53" i="2"/>
  <c r="AK53" i="2"/>
  <c r="AR52" i="2"/>
  <c r="AM52" i="2"/>
  <c r="AK52" i="2"/>
  <c r="AR51" i="2"/>
  <c r="AM51" i="2"/>
  <c r="AK51" i="2"/>
  <c r="AR50" i="2"/>
  <c r="AM50" i="2"/>
  <c r="AK50" i="2"/>
  <c r="AR49" i="2"/>
  <c r="AM49" i="2"/>
  <c r="AK49" i="2"/>
  <c r="AR48" i="2"/>
  <c r="AM48" i="2"/>
  <c r="AK48" i="2"/>
  <c r="AR47" i="2"/>
  <c r="AM47" i="2"/>
  <c r="AK47" i="2"/>
  <c r="AR46" i="2"/>
  <c r="AM46" i="2"/>
  <c r="AK46" i="2"/>
  <c r="AR45" i="2"/>
  <c r="AM45" i="2"/>
  <c r="AK45" i="2"/>
  <c r="AR44" i="2"/>
  <c r="AM44" i="2"/>
  <c r="AK44" i="2"/>
  <c r="AR43" i="2"/>
  <c r="AM43" i="2"/>
  <c r="AK43" i="2"/>
  <c r="AR42" i="2"/>
  <c r="AM42" i="2"/>
  <c r="AK42" i="2"/>
  <c r="AR41" i="2"/>
  <c r="AM41" i="2"/>
  <c r="AK41" i="2"/>
  <c r="AR40" i="2"/>
  <c r="AM40" i="2"/>
  <c r="AK40" i="2"/>
  <c r="AR39" i="2"/>
  <c r="AM39" i="2"/>
  <c r="AK39" i="2"/>
  <c r="AR38" i="2"/>
  <c r="AM38" i="2"/>
  <c r="AK38" i="2"/>
  <c r="AR37" i="2"/>
  <c r="AM37" i="2"/>
  <c r="AK37" i="2"/>
  <c r="AR36" i="2"/>
  <c r="AM36" i="2"/>
  <c r="AK36" i="2"/>
  <c r="AR35" i="2"/>
  <c r="AM35" i="2"/>
  <c r="AK35" i="2"/>
  <c r="AR34" i="2"/>
  <c r="AM34" i="2"/>
  <c r="AK34" i="2"/>
  <c r="AR33" i="2"/>
  <c r="AM33" i="2"/>
  <c r="AK33" i="2"/>
  <c r="AR32" i="2"/>
  <c r="AM32" i="2"/>
  <c r="AK32" i="2"/>
  <c r="AR31" i="2"/>
  <c r="AM31" i="2"/>
  <c r="AK31" i="2"/>
  <c r="AR30" i="2"/>
  <c r="AM30" i="2"/>
  <c r="AK30" i="2"/>
  <c r="AR29" i="2"/>
  <c r="AM29" i="2"/>
  <c r="AK29" i="2"/>
  <c r="AR28" i="2"/>
  <c r="AM28" i="2"/>
  <c r="AK28" i="2"/>
  <c r="AR27" i="2"/>
  <c r="AM27" i="2"/>
  <c r="AK27" i="2"/>
  <c r="AR26" i="2"/>
  <c r="AM26" i="2"/>
  <c r="AK26" i="2"/>
  <c r="AR25" i="2"/>
  <c r="AM25" i="2"/>
  <c r="AK25" i="2"/>
  <c r="AR24" i="2"/>
  <c r="AM24" i="2"/>
  <c r="AK24" i="2"/>
  <c r="AR23" i="2"/>
  <c r="AM23" i="2"/>
  <c r="AK23" i="2"/>
  <c r="AR22" i="2"/>
  <c r="AM22" i="2"/>
  <c r="AK22" i="2"/>
  <c r="AR21" i="2"/>
  <c r="AM21" i="2"/>
  <c r="AK21" i="2"/>
  <c r="AR20" i="2"/>
  <c r="AM20" i="2"/>
  <c r="AK20" i="2"/>
  <c r="AR19" i="2"/>
  <c r="AM19" i="2"/>
  <c r="AK19" i="2"/>
  <c r="AR18" i="2"/>
  <c r="AM18" i="2"/>
  <c r="AK18" i="2"/>
  <c r="AR17" i="2"/>
  <c r="AM17" i="2"/>
  <c r="AK17" i="2"/>
  <c r="AR16" i="2"/>
  <c r="AM16" i="2"/>
  <c r="AK16" i="2"/>
  <c r="AR15" i="2"/>
  <c r="AM15" i="2"/>
  <c r="AK15" i="2"/>
  <c r="AR14" i="2"/>
  <c r="AM14" i="2"/>
  <c r="AK14" i="2"/>
  <c r="AR13" i="2"/>
  <c r="AM13" i="2"/>
  <c r="AK13" i="2"/>
  <c r="AR12" i="2"/>
  <c r="AM12" i="2"/>
  <c r="AK12" i="2"/>
  <c r="AR11" i="2"/>
  <c r="AM11" i="2"/>
  <c r="AK11" i="2"/>
  <c r="AR10" i="2"/>
  <c r="AM10" i="2"/>
  <c r="AK10" i="2"/>
  <c r="AR9" i="2"/>
  <c r="AM9" i="2"/>
  <c r="AK9" i="2"/>
  <c r="AR8" i="2"/>
  <c r="AM8" i="2"/>
  <c r="AK8" i="2"/>
  <c r="AR7" i="2"/>
  <c r="AM7" i="2"/>
  <c r="AK7" i="2"/>
  <c r="AR6" i="2"/>
  <c r="AM6" i="2"/>
  <c r="C30" i="4" s="1"/>
  <c r="AK6" i="2"/>
  <c r="C5" i="4" s="1"/>
  <c r="AR5" i="2"/>
  <c r="AM5" i="2"/>
  <c r="AK5" i="2"/>
</calcChain>
</file>

<file path=xl/sharedStrings.xml><?xml version="1.0" encoding="utf-8"?>
<sst xmlns="http://schemas.openxmlformats.org/spreadsheetml/2006/main" count="417" uniqueCount="247">
  <si>
    <t>AI/ML Use Inventory: Instructions</t>
  </si>
  <si>
    <t>Purpose</t>
  </si>
  <si>
    <t>INFOSEC and Legal are building out a comprehensive inventory of AI/ML used across the company. The inventory supports risk review, protection of NPI, PII and company IP, and responses to client and audit inquiries. Maintaining it is required under the AI Policy (Tool Tracking) and the AI Governance Overview (Monitoring and Audit).</t>
  </si>
  <si>
    <t>What to include</t>
  </si>
  <si>
    <t>(1) AI/ML your team built or is building: APIs, agents, automations, applications, in production, pilot/POC, or development. (2) AI features embedded in SaaS tools your team uses or administers, including features a vendor turned on inside a product that was already approved. (3) AI tools your team uses to build or operate systems: coding assistants, AI in CI/CD, dev tooling.</t>
  </si>
  <si>
    <t>How to complete</t>
  </si>
  <si>
    <t>Use the Inventory tab. One row per use case (not per tool). Columns marked * are required. If you do not know an answer, enter 'Unsure' or 'Unknown' rather than guessing. An incomplete row is more useful than a missing one. If no inventory exists for your team, list what you know.</t>
  </si>
  <si>
    <t>Due date / return to</t>
  </si>
  <si>
    <t>[DUE DATE]. Return the completed file to [INFOSEC CONTACT / cybersecurity@auction.com].</t>
  </si>
  <si>
    <t>Disclosure window</t>
  </si>
  <si>
    <t>[CONFIRM BEFORE SENDING: if the CLO authorizes it, state here that items reported by the due date will be onboarded through the review process rather than treated as policy exceptions.]</t>
  </si>
  <si>
    <t>Reporting statement</t>
  </si>
  <si>
    <t>Treat the inventory as 'complete as of [date], reviewed [cadence]', not as an unqualified statement of completeness.</t>
  </si>
  <si>
    <t>Relationship to intake form</t>
  </si>
  <si>
    <t>This workbook uses the fields of the AI Use Case Intake Form (05-2026) plus infrastructure fields InfoSec needs. A row here does not replace an intake form submission for a new use case. See the 'Intake form submitted?' column and the Field Guide tab for the source of each field.</t>
  </si>
  <si>
    <t>Cell colors</t>
  </si>
  <si>
    <t>Green band = department completes. Grey band / grey headers = calculated, do not edit. Navy band = InfoSec and Legal only. Grey italic row 5 = example only; enter your data from row 6.</t>
  </si>
  <si>
    <t>Auto-flag logic</t>
  </si>
  <si>
    <t>'Review for High' appears when any of these is Yes: NPI, client data, consumer (SmartSale) data, output reaches external parties, or oversight is Fully automated. These track the High Risk definition in the AI Governance Overview. The flag prompts review; InfoSec and Legal set the actual tier. The Governance Overview also lists Office365 access and biometric data as high-risk; the client-data column asks about client O365 content, and biometric data should be noted in Notes.</t>
  </si>
  <si>
    <t>Next review due</t>
  </si>
  <si>
    <t>Calculated from risk tier and review date using the Governance Overview cadence: High = quarterly, Medium = annually, Low = on material change.</t>
  </si>
  <si>
    <t>AI/ML Use Inventory</t>
  </si>
  <si>
    <t>Complete one row per AI/ML use case. Columns marked * are required. See the Instructions and Field Guide tabs. Row 5 is an example only; start entering data in row 6.</t>
  </si>
  <si>
    <t>Department to complete</t>
  </si>
  <si>
    <t>Calc</t>
  </si>
  <si>
    <t>InfoSec / Legal use</t>
  </si>
  <si>
    <t>ID (InfoSec assigns)</t>
  </si>
  <si>
    <t>Department *</t>
  </si>
  <si>
    <t>Name of AI/ML use or system *</t>
  </si>
  <si>
    <t>What it does / business process it supports *</t>
  </si>
  <si>
    <t>Category *</t>
  </si>
  <si>
    <t>Status *</t>
  </si>
  <si>
    <t>Go-live date (actual or planned)</t>
  </si>
  <si>
    <t>Business owner *</t>
  </si>
  <si>
    <t>Technical owner / custodian *</t>
  </si>
  <si>
    <t>AI vendor / platform *</t>
  </si>
  <si>
    <t>Model and version</t>
  </si>
  <si>
    <t>Access method *</t>
  </si>
  <si>
    <t>Agentic? (multi-step actions without per-step human approval) *</t>
  </si>
  <si>
    <t>If agentic: tools and permissions it holds</t>
  </si>
  <si>
    <t>Hosting / runtime</t>
  </si>
  <si>
    <t>Systems and data sources connected</t>
  </si>
  <si>
    <t>Okta / SSO used? *</t>
  </si>
  <si>
    <t>Service account / API key management</t>
  </si>
  <si>
    <t>Instance type *</t>
  </si>
  <si>
    <t>Processes NPI? *</t>
  </si>
  <si>
    <t>Processes other PII? *</t>
  </si>
  <si>
    <t>Processes company IP / confidential? *</t>
  </si>
  <si>
    <t>Processes client data (incl. loan-level data, client O365 content)? *</t>
  </si>
  <si>
    <t>If client data: which client(s)?</t>
  </si>
  <si>
    <t>Processes consumer (SmartSale) data? *</t>
  </si>
  <si>
    <t>Data sent to or retained by a third party? *</t>
  </si>
  <si>
    <t>Vendor training / retention status</t>
  </si>
  <si>
    <t>Logs sent to SIEM? *</t>
  </si>
  <si>
    <t>Other monitoring</t>
  </si>
  <si>
    <t>Users / audience *</t>
  </si>
  <si>
    <t>Does any output reach clients, buyers, sellers, or consumers? *</t>
  </si>
  <si>
    <t>Human oversight *</t>
  </si>
  <si>
    <t>Contractors / vendors involved in build or operation</t>
  </si>
  <si>
    <t>Restrictive open-source components used or trained on?</t>
  </si>
  <si>
    <t>Intake form submitted? *</t>
  </si>
  <si>
    <t>Notes / open issues</t>
  </si>
  <si>
    <t>Required fields still blank</t>
  </si>
  <si>
    <t>Reported during disclosure window?</t>
  </si>
  <si>
    <t>Auto-flag: high-risk trigger present</t>
  </si>
  <si>
    <t>Risk tier (InfoSec / Legal)</t>
  </si>
  <si>
    <t>Client approval required?</t>
  </si>
  <si>
    <t>Reviewed by</t>
  </si>
  <si>
    <t>Review date</t>
  </si>
  <si>
    <t>InfoSec follow-up / gaps</t>
  </si>
  <si>
    <t>EXAMPLE</t>
  </si>
  <si>
    <t>Engineering</t>
  </si>
  <si>
    <t>Deal summary agent</t>
  </si>
  <si>
    <t>Summarizes bidder Q&amp;A threads for listing managers before sale close.</t>
  </si>
  <si>
    <t>Built in-house (API/agent/automation/app)</t>
  </si>
  <si>
    <t>Pilot / POC</t>
  </si>
  <si>
    <t>2026-11-15</t>
  </si>
  <si>
    <t>Jane Doe</t>
  </si>
  <si>
    <t>John Smith</t>
  </si>
  <si>
    <t>AWS Bedrock</t>
  </si>
  <si>
    <t>Claude Sonnet 4.6</t>
  </si>
  <si>
    <t>API</t>
  </si>
  <si>
    <t>No</t>
  </si>
  <si>
    <t>AWS (private VPC)</t>
  </si>
  <si>
    <t>Listing database (read-only); internal Slack (post)</t>
  </si>
  <si>
    <t>Yes</t>
  </si>
  <si>
    <t>IAM role; keys in Secrets Manager, rotated 90 days</t>
  </si>
  <si>
    <t>Private / enterprise</t>
  </si>
  <si>
    <t>Example Bank</t>
  </si>
  <si>
    <t>Contractually prohibited</t>
  </si>
  <si>
    <t>Partial</t>
  </si>
  <si>
    <t>CloudWatch; prompts and outputs retained 30 days</t>
  </si>
  <si>
    <t>Internal staff</t>
  </si>
  <si>
    <t>Human reviews before action</t>
  </si>
  <si>
    <t>None</t>
  </si>
  <si>
    <t>Example row only. Delete or ignore.</t>
  </si>
  <si>
    <t>Field</t>
  </si>
  <si>
    <t>Completed by</t>
  </si>
  <si>
    <t>Required</t>
  </si>
  <si>
    <t>Guidance</t>
  </si>
  <si>
    <t>Allowed values</t>
  </si>
  <si>
    <t>Source</t>
  </si>
  <si>
    <t>Department</t>
  </si>
  <si>
    <t>Leave blank. InfoSec assigns on receipt.</t>
  </si>
  <si>
    <t>Free text</t>
  </si>
  <si>
    <t>Added</t>
  </si>
  <si>
    <t>Owning department.</t>
  </si>
  <si>
    <t>InfoSec email #9</t>
  </si>
  <si>
    <t>Name of AI/ML use or system</t>
  </si>
  <si>
    <t>One row per use case, not per tool. A tool used for three purposes is three rows.</t>
  </si>
  <si>
    <t>InfoSec email #1; Intake Form: Use Case / Project Name</t>
  </si>
  <si>
    <t>What it does / business process it supports</t>
  </si>
  <si>
    <t>Plain language. Include who or what consumes the output.</t>
  </si>
  <si>
    <t>InfoSec email #1; Intake Form: Intended Use</t>
  </si>
  <si>
    <t>Category</t>
  </si>
  <si>
    <t>Built in-house, AI feature embedded in a SaaS product (including features a vendor switched on in an already-approved product), standalone AI tool, or AI used in dev tooling.</t>
  </si>
  <si>
    <t>Built in-house (API/agent/automation/app), Embedded AI feature in SaaS, Standalone AI tool/platform, Dev tooling (coding assistant / CI-CD / IDE), Other</t>
  </si>
  <si>
    <t>Status</t>
  </si>
  <si>
    <t>Production, Pilot / POC, In development, or Retired.</t>
  </si>
  <si>
    <t>Production, Pilot / POC, In development, Retired</t>
  </si>
  <si>
    <t>InfoSec email #2</t>
  </si>
  <si>
    <t>Enter a date (YYYY-MM-DD). Leave blank if not yet scheduled.</t>
  </si>
  <si>
    <t>InfoSec email #2; Intake Form: Target Go-Live</t>
  </si>
  <si>
    <t>Business owner</t>
  </si>
  <si>
    <t>Name.</t>
  </si>
  <si>
    <t>InfoSec email #9; Intake Form: Business Owner</t>
  </si>
  <si>
    <t>Technical owner / custodian</t>
  </si>
  <si>
    <t>AI vendor / platform</t>
  </si>
  <si>
    <t>e.g. AWS Bedrock, OpenAI, Microsoft, in-house.</t>
  </si>
  <si>
    <t>InfoSec email #3</t>
  </si>
  <si>
    <t>e.g. Claude Sonnet 4.6. Enter 'Unknown' for embedded features where the vendor does not disclose it.</t>
  </si>
  <si>
    <t>Access method</t>
  </si>
  <si>
    <t>How the system calls or uses the AI.</t>
  </si>
  <si>
    <t>API, MCP, Embedded SaaS feature, SDK / library, Browser or desktop app, In-house hosted model, Other</t>
  </si>
  <si>
    <t>Agentic? (multi-step actions without per-step human approval)</t>
  </si>
  <si>
    <t>Yes if the AI is given a goal and carries out multiple steps or tool calls autonomously. This is different from the human oversight field below.</t>
  </si>
  <si>
    <t>Yes, No, Unsure</t>
  </si>
  <si>
    <t>Added (Governance Framework: agentic processes)</t>
  </si>
  <si>
    <t>What can it read, write, send, or execute? Which accounts or keys does it use?</t>
  </si>
  <si>
    <t>e.g. AWS, Azure / O365, vendor SaaS.</t>
  </si>
  <si>
    <t>InfoSec email #4</t>
  </si>
  <si>
    <t>List each system, repository, or data store it reads from or writes to.</t>
  </si>
  <si>
    <t>Okta / SSO used?</t>
  </si>
  <si>
    <t>Yes, No, Partial, or N/A (no human login).</t>
  </si>
  <si>
    <t>Yes, No, Partial, N/A</t>
  </si>
  <si>
    <t>InfoSec email #5</t>
  </si>
  <si>
    <t>Where keys are stored (e.g. secrets manager), who can access them, and rotation approach.</t>
  </si>
  <si>
    <t>Instance type</t>
  </si>
  <si>
    <t>Private / enterprise (company-controlled tenant) or Public / consumer.</t>
  </si>
  <si>
    <t>Private / enterprise, Public / consumer, Unsure</t>
  </si>
  <si>
    <t>InfoSec email #8</t>
  </si>
  <si>
    <t>Processes NPI?</t>
  </si>
  <si>
    <t>Nonpublic personal information.</t>
  </si>
  <si>
    <t>InfoSec email #6; Intake Form: Data Types</t>
  </si>
  <si>
    <t>Processes other PII?</t>
  </si>
  <si>
    <t>Prompts, training, or output.</t>
  </si>
  <si>
    <t>InfoSec email #6; Intake Form: Personal information</t>
  </si>
  <si>
    <t>Processes company IP / confidential?</t>
  </si>
  <si>
    <t>Includes source code, contracts, internal strategy.</t>
  </si>
  <si>
    <t>InfoSec email #6; Intake Form: Company confidential</t>
  </si>
  <si>
    <t>Processes client data (incl. loan-level data, client O365 content)?</t>
  </si>
  <si>
    <t>Client data triggers client-approval and audit considerations.</t>
  </si>
  <si>
    <t>Added; Intake Form: Client sensitive data; Governance Overview: Client Approval</t>
  </si>
  <si>
    <t>Needed to map to client contract and audit requirements.</t>
  </si>
  <si>
    <t>Processes consumer (SmartSale) data?</t>
  </si>
  <si>
    <t>Seller / homeowner data in the SmartSale business.</t>
  </si>
  <si>
    <t>Data sent to or retained by a third party?</t>
  </si>
  <si>
    <t>Includes the AI vendor and any subprocessors.</t>
  </si>
  <si>
    <t>InfoSec email #6; Intake Form: Third-Party AI</t>
  </si>
  <si>
    <t>Is the vendor prohibited from training on our data, and is retention/deletion defined?</t>
  </si>
  <si>
    <t>Contractually prohibited, Opt-out configured, Not prohibited, Unknown</t>
  </si>
  <si>
    <t>Added; Intake Form: Training Restrictions, Data Retention</t>
  </si>
  <si>
    <t>Logs sent to SIEM?</t>
  </si>
  <si>
    <t>Yes, No, Partial, or Unknown.</t>
  </si>
  <si>
    <t>Yes, No, Partial, Unknown</t>
  </si>
  <si>
    <t>InfoSec email #7</t>
  </si>
  <si>
    <t>Any other logging or monitoring tool, and whether prompts and outputs are retained.</t>
  </si>
  <si>
    <t>Users / audience</t>
  </si>
  <si>
    <t>Who uses it or receives its output.</t>
  </si>
  <si>
    <t>Internal staff, Clients / customers, Buyers / sellers / consumers, Automated - no users, Mixed</t>
  </si>
  <si>
    <t>InfoSec email #10</t>
  </si>
  <si>
    <t>Does any output reach clients, buyers, sellers, or consumers?</t>
  </si>
  <si>
    <t>Directly or after light editing.</t>
  </si>
  <si>
    <t>Added; Intake Form: External Consumption</t>
  </si>
  <si>
    <t>Human oversight</t>
  </si>
  <si>
    <t>Is a person reviewing before anything happens, or do outputs drive actions automatically?</t>
  </si>
  <si>
    <t>Human reviews before action, Human reviews after action, Fully automated, N/A</t>
  </si>
  <si>
    <t>InfoSec email #12; Intake Form: Review / Oversight</t>
  </si>
  <si>
    <t>Names, or 'None'.</t>
  </si>
  <si>
    <t>InfoSec email #11</t>
  </si>
  <si>
    <t>Yes / No / Unsure. If unsure, say so rather than guessing.</t>
  </si>
  <si>
    <t>Added (client contract requirement)</t>
  </si>
  <si>
    <t>Intake form submitted?</t>
  </si>
  <si>
    <t>Whether an AI Use Case Intake Form has been submitted for this use case.</t>
  </si>
  <si>
    <t>Anything the reviewer should know.</t>
  </si>
  <si>
    <t>Intake Form: Additional Notes</t>
  </si>
  <si>
    <t>Calculated</t>
  </si>
  <si>
    <t>Calculated. Aim for 0.</t>
  </si>
  <si>
    <t>Formula</t>
  </si>
  <si>
    <t>InfoSec / Legal</t>
  </si>
  <si>
    <t>InfoSec use. Applies only if the window is authorized.</t>
  </si>
  <si>
    <t>Calculated. Prompts InfoSec review; it does not set the tier.</t>
  </si>
  <si>
    <t>Formula (Governance Overview: High Risk)</t>
  </si>
  <si>
    <t>InfoSec and Legal set this after review.</t>
  </si>
  <si>
    <t>Low, Medium, High</t>
  </si>
  <si>
    <t>Intake Form: Risk Assessment; Governance Overview</t>
  </si>
  <si>
    <t>InfoSec and Legal.</t>
  </si>
  <si>
    <t>Yes, No, TBD</t>
  </si>
  <si>
    <t>Governance Overview: Client Approval</t>
  </si>
  <si>
    <t>InfoSec use.</t>
  </si>
  <si>
    <t>InfoSec use. Date of most recent review.</t>
  </si>
  <si>
    <t>High: 3 months. Medium: 12 months. Low: on material change.</t>
  </si>
  <si>
    <t>Formula (Governance Overview: review cadence)</t>
  </si>
  <si>
    <t>InfoSec email: 'follow up on any gaps'</t>
  </si>
  <si>
    <t>Inventory Summary (counts rows 6 to 505 of the Inventory tab; example row excluded)</t>
  </si>
  <si>
    <t>Volume</t>
  </si>
  <si>
    <t>Use cases recorded</t>
  </si>
  <si>
    <t>Rows with required fields still blank</t>
  </si>
  <si>
    <t>By status</t>
  </si>
  <si>
    <t>Production</t>
  </si>
  <si>
    <t>In development</t>
  </si>
  <si>
    <t>Retired</t>
  </si>
  <si>
    <t>By category</t>
  </si>
  <si>
    <t>Embedded AI feature in SaaS</t>
  </si>
  <si>
    <t>Standalone AI tool/platform</t>
  </si>
  <si>
    <t>Dev tooling (coding assistant / CI-CD / IDE)</t>
  </si>
  <si>
    <t>Other</t>
  </si>
  <si>
    <t>Risk indicators</t>
  </si>
  <si>
    <t>Processes NPI</t>
  </si>
  <si>
    <t>Processes client data</t>
  </si>
  <si>
    <t>Processes consumer (SmartSale) data</t>
  </si>
  <si>
    <t>Output reaches external parties</t>
  </si>
  <si>
    <t>Agentic</t>
  </si>
  <si>
    <t>Fully automated (no human review)</t>
  </si>
  <si>
    <t>Public / consumer instance</t>
  </si>
  <si>
    <t>Data sent to or retained by a third party</t>
  </si>
  <si>
    <t>Vendor training status Unknown or Not prohibited</t>
  </si>
  <si>
    <t>Auto-flag: Review for High</t>
  </si>
  <si>
    <t>Control gaps</t>
  </si>
  <si>
    <t>Not using Okta / SSO</t>
  </si>
  <si>
    <t>Logs not fully sent to SIEM (No, Partial, Unknown)</t>
  </si>
  <si>
    <t>No intake form submitted</t>
  </si>
  <si>
    <t>InfoSec review status</t>
  </si>
  <si>
    <t>Risk tier: Low</t>
  </si>
  <si>
    <t>Risk tier: Medium</t>
  </si>
  <si>
    <t>Risk tier: High</t>
  </si>
  <si>
    <t>Recorded but no risk tier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</si>
</sst>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charset val="1"/>
    </font>
    <font>
      <b/>
      <sz val="14"/>
      <color rgb="FF253746"/>
      <name val="Arial"/>
      <family val="2"/>
    </font>
    <font>
      <b/>
      <sz val="10"/>
      <color rgb="FFFFFFFF"/>
      <name val="Arial"/>
      <family val="2"/>
    </font>
    <font>
      <sz val="10"/>
      <name val="Arial"/>
      <family val="2"/>
    </font>
    <font>
      <i/>
      <sz val="9"/>
      <color rgb="FF595959"/>
      <name val="Arial"/>
      <family val="2"/>
    </font>
    <font>
      <b/>
      <sz val="9"/>
      <color rgb="FFFFFFFF"/>
      <name val="Arial"/>
      <family val="2"/>
    </font>
    <font>
      <i/>
      <sz val="9"/>
      <color rgb="FF7F7F7F"/>
      <name val="Arial"/>
      <family val="2"/>
    </font>
    <font>
      <sz val="9"/>
      <color rgb="FF000000"/>
      <name val="Arial"/>
      <family val="2"/>
    </font>
    <font>
      <sz val="9"/>
      <name val="Arial"/>
      <family val="2"/>
    </font>
    <font>
      <b/>
      <sz val="12"/>
      <color rgb="FF253746"/>
      <name val="Arial"/>
      <family val="2"/>
    </font>
  </fonts>
  <fills count="6">
    <fill>
      <patternFill patternType="none"/>
    </fill>
    <fill>
      <patternFill patternType="gray125"/>
    </fill>
    <fill>
      <patternFill patternType="solid">
        <fgColor rgb="FF253746"/>
        <bgColor rgb="FF003366"/>
      </patternFill>
    </fill>
    <fill>
      <patternFill patternType="solid">
        <fgColor rgb="FF6DB33F"/>
        <bgColor rgb="FF339966"/>
      </patternFill>
    </fill>
    <fill>
      <patternFill patternType="solid">
        <fgColor rgb="FF7F7F7F"/>
        <bgColor rgb="FF969696"/>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2" borderId="1" xfId="0" applyFont="1" applyFill="1" applyBorder="1" applyAlignment="1">
      <alignment vertical="top" wrapText="1"/>
    </xf>
    <xf numFmtId="0" fontId="3" fillId="0" borderId="1" xfId="0" applyFont="1" applyBorder="1" applyAlignment="1">
      <alignment vertical="top" wrapText="1"/>
    </xf>
    <xf numFmtId="0" fontId="4" fillId="0" borderId="0" xfId="0" applyFont="1"/>
    <xf numFmtId="0" fontId="2" fillId="4" borderId="0" xfId="0" applyFont="1" applyFill="1" applyAlignment="1">
      <alignment horizontal="left" vertical="center"/>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vertical="top" wrapText="1"/>
    </xf>
    <xf numFmtId="164" fontId="6" fillId="5" borderId="1" xfId="0" applyNumberFormat="1" applyFont="1" applyFill="1" applyBorder="1" applyAlignment="1">
      <alignment vertical="top" wrapText="1"/>
    </xf>
    <xf numFmtId="0" fontId="6" fillId="5" borderId="1" xfId="0" applyFont="1" applyFill="1" applyBorder="1" applyAlignment="1">
      <alignment horizontal="center" vertical="top"/>
    </xf>
    <xf numFmtId="0" fontId="7" fillId="0" borderId="1" xfId="0" applyFont="1" applyBorder="1" applyAlignment="1">
      <alignment vertical="top" wrapText="1"/>
    </xf>
    <xf numFmtId="164" fontId="7" fillId="0" borderId="1" xfId="0" applyNumberFormat="1" applyFont="1" applyBorder="1" applyAlignment="1">
      <alignment vertical="top" wrapText="1"/>
    </xf>
    <xf numFmtId="0" fontId="7" fillId="0" borderId="1" xfId="0" applyFont="1" applyBorder="1" applyAlignment="1">
      <alignment horizontal="center" vertical="top"/>
    </xf>
    <xf numFmtId="0" fontId="2" fillId="2" borderId="1" xfId="0" applyFont="1" applyFill="1" applyBorder="1" applyAlignment="1">
      <alignment vertical="center" wrapText="1"/>
    </xf>
    <xf numFmtId="0" fontId="8" fillId="0" borderId="1" xfId="0" applyFont="1" applyBorder="1" applyAlignment="1">
      <alignment vertical="top" wrapText="1"/>
    </xf>
    <xf numFmtId="0" fontId="9" fillId="0" borderId="0" xfId="0" applyFont="1"/>
    <xf numFmtId="0" fontId="2" fillId="2" borderId="0" xfId="0" applyFont="1" applyFill="1"/>
    <xf numFmtId="0" fontId="0" fillId="2" borderId="0" xfId="0" applyFill="1"/>
    <xf numFmtId="0" fontId="3" fillId="0" borderId="1" xfId="0" applyFont="1" applyBorder="1"/>
    <xf numFmtId="0" fontId="3" fillId="0" borderId="1" xfId="0" applyFont="1" applyBorder="1" applyAlignment="1">
      <alignment horizontal="center"/>
    </xf>
    <xf numFmtId="0" fontId="2" fillId="3" borderId="0" xfId="0" applyFont="1" applyFill="1" applyAlignment="1">
      <alignment horizontal="left" vertical="center"/>
    </xf>
    <xf numFmtId="0" fontId="2"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6DB33F"/>
      <rgbColor rgb="FFFFCC00"/>
      <rgbColor rgb="FFFF9900"/>
      <rgbColor rgb="FFFF6600"/>
      <rgbColor rgb="FF595959"/>
      <rgbColor rgb="FF969696"/>
      <rgbColor rgb="FF003366"/>
      <rgbColor rgb="FF339966"/>
      <rgbColor rgb="FF003300"/>
      <rgbColor rgb="FF333300"/>
      <rgbColor rgb="FF993300"/>
      <rgbColor rgb="FF993366"/>
      <rgbColor rgb="FF333399"/>
      <rgbColor rgb="FF2537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2"/>
  <sheetViews>
    <sheetView showGridLines="0" topLeftCell="A4" zoomScale="150" zoomScaleNormal="100" workbookViewId="0"/>
  </sheetViews>
  <sheetFormatPr baseColWidth="10" defaultColWidth="8.5" defaultRowHeight="15" x14ac:dyDescent="0.2"/>
  <cols>
    <col min="1" max="1" width="3" customWidth="1"/>
    <col min="2" max="2" width="34" customWidth="1"/>
    <col min="3" max="3" width="100" customWidth="1"/>
  </cols>
  <sheetData>
    <row r="1" spans="2:3" ht="18" x14ac:dyDescent="0.2">
      <c r="B1" s="1" t="s">
        <v>0</v>
      </c>
    </row>
    <row r="3" spans="2:3" ht="60" customHeight="1" x14ac:dyDescent="0.2">
      <c r="B3" s="2" t="s">
        <v>1</v>
      </c>
      <c r="C3" s="3" t="s">
        <v>2</v>
      </c>
    </row>
    <row r="4" spans="2:3" ht="60" customHeight="1" x14ac:dyDescent="0.2">
      <c r="B4" s="2" t="s">
        <v>3</v>
      </c>
      <c r="C4" s="3" t="s">
        <v>4</v>
      </c>
    </row>
    <row r="5" spans="2:3" ht="45" customHeight="1" x14ac:dyDescent="0.2">
      <c r="B5" s="2" t="s">
        <v>5</v>
      </c>
      <c r="C5" s="3" t="s">
        <v>6</v>
      </c>
    </row>
    <row r="6" spans="2:3" ht="30" customHeight="1" x14ac:dyDescent="0.2">
      <c r="B6" s="2" t="s">
        <v>7</v>
      </c>
      <c r="C6" s="3" t="s">
        <v>8</v>
      </c>
    </row>
    <row r="7" spans="2:3" ht="30" customHeight="1" x14ac:dyDescent="0.2">
      <c r="B7" s="2" t="s">
        <v>9</v>
      </c>
      <c r="C7" s="3" t="s">
        <v>10</v>
      </c>
    </row>
    <row r="8" spans="2:3" ht="30" customHeight="1" x14ac:dyDescent="0.2">
      <c r="B8" s="2" t="s">
        <v>11</v>
      </c>
      <c r="C8" s="3" t="s">
        <v>12</v>
      </c>
    </row>
    <row r="9" spans="2:3" ht="45" customHeight="1" x14ac:dyDescent="0.2">
      <c r="B9" s="2" t="s">
        <v>13</v>
      </c>
      <c r="C9" s="3" t="s">
        <v>14</v>
      </c>
    </row>
    <row r="10" spans="2:3" ht="30" customHeight="1" x14ac:dyDescent="0.2">
      <c r="B10" s="2" t="s">
        <v>15</v>
      </c>
      <c r="C10" s="3" t="s">
        <v>16</v>
      </c>
    </row>
    <row r="11" spans="2:3" ht="90" customHeight="1" x14ac:dyDescent="0.2">
      <c r="B11" s="2" t="s">
        <v>17</v>
      </c>
      <c r="C11" s="3" t="s">
        <v>18</v>
      </c>
    </row>
    <row r="12" spans="2:3" ht="30" customHeight="1" x14ac:dyDescent="0.2">
      <c r="B12" s="2" t="s">
        <v>19</v>
      </c>
      <c r="C12" s="3"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05"/>
  <sheetViews>
    <sheetView showGridLines="0" tabSelected="1" zoomScale="173" zoomScaleNormal="100" workbookViewId="0">
      <pane xSplit="3" ySplit="4" topLeftCell="AS5" activePane="bottomRight" state="frozen"/>
      <selection pane="topRight" activeCell="D1" sqref="D1"/>
      <selection pane="bottomLeft" activeCell="A5" sqref="A5"/>
      <selection pane="bottomRight" activeCell="C17" sqref="C17"/>
    </sheetView>
  </sheetViews>
  <sheetFormatPr baseColWidth="10" defaultColWidth="8.5" defaultRowHeight="15" x14ac:dyDescent="0.2"/>
  <cols>
    <col min="1" max="1" width="12" customWidth="1"/>
    <col min="2" max="2" width="16" customWidth="1"/>
    <col min="3" max="3" width="28" customWidth="1"/>
    <col min="4" max="4" width="40" customWidth="1"/>
    <col min="5" max="5" width="24" customWidth="1"/>
    <col min="6" max="6" width="14" customWidth="1"/>
    <col min="7" max="7" width="16" customWidth="1"/>
    <col min="8" max="9" width="20" customWidth="1"/>
    <col min="10" max="10" width="22" customWidth="1"/>
    <col min="11" max="12" width="20" customWidth="1"/>
    <col min="13" max="13" width="18" customWidth="1"/>
    <col min="14" max="14" width="30" customWidth="1"/>
    <col min="15" max="15" width="20" customWidth="1"/>
    <col min="16" max="16" width="32" customWidth="1"/>
    <col min="17" max="17" width="12" customWidth="1"/>
    <col min="18" max="18" width="28" customWidth="1"/>
    <col min="19" max="19" width="18" customWidth="1"/>
    <col min="20" max="21" width="11" customWidth="1"/>
    <col min="22" max="22" width="14" customWidth="1"/>
    <col min="23" max="23" width="18" customWidth="1"/>
    <col min="24" max="24" width="22" customWidth="1"/>
    <col min="25" max="25" width="14" customWidth="1"/>
    <col min="26" max="26" width="16" customWidth="1"/>
    <col min="27" max="27" width="22" customWidth="1"/>
    <col min="28" max="28" width="12" customWidth="1"/>
    <col min="29" max="29" width="24" customWidth="1"/>
    <col min="30" max="30" width="22" customWidth="1"/>
    <col min="31" max="31" width="18" customWidth="1"/>
    <col min="32" max="33" width="24" customWidth="1"/>
    <col min="34" max="34" width="18" customWidth="1"/>
    <col min="35" max="35" width="12" customWidth="1"/>
    <col min="36" max="36" width="30" customWidth="1"/>
    <col min="37" max="37" width="12" customWidth="1"/>
    <col min="38" max="38" width="16" customWidth="1"/>
    <col min="39" max="39" width="24" customWidth="1"/>
    <col min="40" max="40" width="12" customWidth="1"/>
    <col min="41" max="41" width="14" customWidth="1"/>
    <col min="42" max="42" width="16" customWidth="1"/>
    <col min="43" max="43" width="14" customWidth="1"/>
    <col min="44" max="44" width="16" customWidth="1"/>
    <col min="45" max="45" width="32" customWidth="1"/>
  </cols>
  <sheetData>
    <row r="1" spans="1:45" ht="18" x14ac:dyDescent="0.2">
      <c r="A1" s="1" t="s">
        <v>21</v>
      </c>
    </row>
    <row r="2" spans="1:45" x14ac:dyDescent="0.2">
      <c r="A2" s="4" t="s">
        <v>22</v>
      </c>
    </row>
    <row r="3" spans="1:45" x14ac:dyDescent="0.2">
      <c r="A3" s="21" t="s">
        <v>23</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5" t="s">
        <v>24</v>
      </c>
      <c r="AL3" s="22" t="s">
        <v>25</v>
      </c>
      <c r="AM3" s="22"/>
      <c r="AN3" s="22"/>
      <c r="AO3" s="22"/>
      <c r="AP3" s="22"/>
      <c r="AQ3" s="22"/>
      <c r="AR3" s="22"/>
      <c r="AS3" s="22"/>
    </row>
    <row r="4" spans="1:45" ht="61.5" customHeight="1" x14ac:dyDescent="0.2">
      <c r="A4" s="6" t="s">
        <v>26</v>
      </c>
      <c r="B4" s="6" t="s">
        <v>27</v>
      </c>
      <c r="C4" s="6" t="s">
        <v>28</v>
      </c>
      <c r="D4" s="6" t="s">
        <v>29</v>
      </c>
      <c r="E4" s="6" t="s">
        <v>30</v>
      </c>
      <c r="F4" s="6" t="s">
        <v>31</v>
      </c>
      <c r="G4" s="6" t="s">
        <v>32</v>
      </c>
      <c r="H4" s="6" t="s">
        <v>33</v>
      </c>
      <c r="I4" s="6" t="s">
        <v>34</v>
      </c>
      <c r="J4" s="6" t="s">
        <v>35</v>
      </c>
      <c r="K4" s="6" t="s">
        <v>36</v>
      </c>
      <c r="L4" s="6" t="s">
        <v>37</v>
      </c>
      <c r="M4" s="6" t="s">
        <v>38</v>
      </c>
      <c r="N4" s="6" t="s">
        <v>39</v>
      </c>
      <c r="O4" s="6" t="s">
        <v>40</v>
      </c>
      <c r="P4" s="6" t="s">
        <v>41</v>
      </c>
      <c r="Q4" s="6" t="s">
        <v>42</v>
      </c>
      <c r="R4" s="6" t="s">
        <v>43</v>
      </c>
      <c r="S4" s="6" t="s">
        <v>44</v>
      </c>
      <c r="T4" s="6" t="s">
        <v>45</v>
      </c>
      <c r="U4" s="6" t="s">
        <v>46</v>
      </c>
      <c r="V4" s="6" t="s">
        <v>47</v>
      </c>
      <c r="W4" s="6" t="s">
        <v>48</v>
      </c>
      <c r="X4" s="6" t="s">
        <v>49</v>
      </c>
      <c r="Y4" s="6" t="s">
        <v>50</v>
      </c>
      <c r="Z4" s="6" t="s">
        <v>51</v>
      </c>
      <c r="AA4" s="6" t="s">
        <v>52</v>
      </c>
      <c r="AB4" s="6" t="s">
        <v>53</v>
      </c>
      <c r="AC4" s="6" t="s">
        <v>54</v>
      </c>
      <c r="AD4" s="6" t="s">
        <v>55</v>
      </c>
      <c r="AE4" s="6" t="s">
        <v>56</v>
      </c>
      <c r="AF4" s="6" t="s">
        <v>57</v>
      </c>
      <c r="AG4" s="6" t="s">
        <v>58</v>
      </c>
      <c r="AH4" s="6" t="s">
        <v>59</v>
      </c>
      <c r="AI4" s="6" t="s">
        <v>60</v>
      </c>
      <c r="AJ4" s="6" t="s">
        <v>61</v>
      </c>
      <c r="AK4" s="7" t="s">
        <v>62</v>
      </c>
      <c r="AL4" s="6" t="s">
        <v>63</v>
      </c>
      <c r="AM4" s="6" t="s">
        <v>64</v>
      </c>
      <c r="AN4" s="6" t="s">
        <v>65</v>
      </c>
      <c r="AO4" s="6" t="s">
        <v>66</v>
      </c>
      <c r="AP4" s="6" t="s">
        <v>67</v>
      </c>
      <c r="AQ4" s="6" t="s">
        <v>68</v>
      </c>
      <c r="AR4" s="6" t="s">
        <v>19</v>
      </c>
      <c r="AS4" s="6" t="s">
        <v>69</v>
      </c>
    </row>
    <row r="5" spans="1:45" ht="26" x14ac:dyDescent="0.2">
      <c r="A5" s="8" t="s">
        <v>70</v>
      </c>
      <c r="B5" s="8" t="s">
        <v>71</v>
      </c>
      <c r="C5" s="8" t="s">
        <v>72</v>
      </c>
      <c r="D5" s="8" t="s">
        <v>73</v>
      </c>
      <c r="E5" s="8" t="s">
        <v>74</v>
      </c>
      <c r="F5" s="8" t="s">
        <v>75</v>
      </c>
      <c r="G5" s="9" t="s">
        <v>76</v>
      </c>
      <c r="H5" s="8" t="s">
        <v>77</v>
      </c>
      <c r="I5" s="8" t="s">
        <v>78</v>
      </c>
      <c r="J5" s="8" t="s">
        <v>79</v>
      </c>
      <c r="K5" s="8" t="s">
        <v>80</v>
      </c>
      <c r="L5" s="8" t="s">
        <v>81</v>
      </c>
      <c r="M5" s="8" t="s">
        <v>82</v>
      </c>
      <c r="N5" s="8"/>
      <c r="O5" s="8" t="s">
        <v>83</v>
      </c>
      <c r="P5" s="8" t="s">
        <v>84</v>
      </c>
      <c r="Q5" s="8" t="s">
        <v>85</v>
      </c>
      <c r="R5" s="8" t="s">
        <v>86</v>
      </c>
      <c r="S5" s="8" t="s">
        <v>87</v>
      </c>
      <c r="T5" s="8" t="s">
        <v>82</v>
      </c>
      <c r="U5" s="8" t="s">
        <v>85</v>
      </c>
      <c r="V5" s="8" t="s">
        <v>85</v>
      </c>
      <c r="W5" s="8" t="s">
        <v>85</v>
      </c>
      <c r="X5" s="8" t="s">
        <v>88</v>
      </c>
      <c r="Y5" s="8" t="s">
        <v>82</v>
      </c>
      <c r="Z5" s="8" t="s">
        <v>85</v>
      </c>
      <c r="AA5" s="8" t="s">
        <v>89</v>
      </c>
      <c r="AB5" s="8" t="s">
        <v>90</v>
      </c>
      <c r="AC5" s="8" t="s">
        <v>91</v>
      </c>
      <c r="AD5" s="8" t="s">
        <v>92</v>
      </c>
      <c r="AE5" s="8" t="s">
        <v>82</v>
      </c>
      <c r="AF5" s="8" t="s">
        <v>93</v>
      </c>
      <c r="AG5" s="8" t="s">
        <v>94</v>
      </c>
      <c r="AH5" s="8" t="s">
        <v>82</v>
      </c>
      <c r="AI5" s="8" t="s">
        <v>82</v>
      </c>
      <c r="AJ5" s="8" t="s">
        <v>95</v>
      </c>
      <c r="AK5" s="10">
        <f t="shared" ref="AK5:AK68" si="0">IF(C5="","",(B5="")+(C5="")+(D5="")+(E5="")+(F5="")+(H5="")+(I5="")+(J5="")+(L5="")+(M5="")+(Q5="")+(S5="")+(T5="")+(U5="")+(V5="")+(W5="")+(Y5="")+(Z5="")+(AB5="")+(AD5="")+(AE5="")+(AF5="")+(AI5=""))</f>
        <v>0</v>
      </c>
      <c r="AL5" s="8"/>
      <c r="AM5" s="8" t="str">
        <f t="shared" ref="AM5:AM68" si="1">IF(C5="","",IF(OR(T5="Yes",W5="Yes",Y5="Yes",AE5="Yes",AF5="Fully automated"),"Review for High","-"))</f>
        <v>Review for High</v>
      </c>
      <c r="AN5" s="8"/>
      <c r="AO5" s="8"/>
      <c r="AP5" s="8"/>
      <c r="AQ5" s="9"/>
      <c r="AR5" s="9" t="str">
        <f t="shared" ref="AR5:AR68" si="2">IF(OR(AN5="",AQ5=""),"",IF(AN5="High",EDATE(AQ5,3),IF(AN5="Medium",EDATE(AQ5,12),"On material change")))</f>
        <v/>
      </c>
      <c r="AS5" s="8"/>
    </row>
    <row r="6" spans="1:45" x14ac:dyDescent="0.2">
      <c r="A6" s="11"/>
      <c r="B6" s="11"/>
      <c r="C6" s="11"/>
      <c r="D6" s="11"/>
      <c r="E6" s="11"/>
      <c r="F6" s="11"/>
      <c r="G6" s="12"/>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3" t="str">
        <f t="shared" si="0"/>
        <v/>
      </c>
      <c r="AL6" s="11"/>
      <c r="AM6" s="11" t="str">
        <f t="shared" si="1"/>
        <v/>
      </c>
      <c r="AN6" s="11"/>
      <c r="AO6" s="11"/>
      <c r="AP6" s="11"/>
      <c r="AQ6" s="12"/>
      <c r="AR6" s="12" t="str">
        <f t="shared" si="2"/>
        <v/>
      </c>
      <c r="AS6" s="11"/>
    </row>
    <row r="7" spans="1:45" x14ac:dyDescent="0.2">
      <c r="A7" s="11"/>
      <c r="B7" s="11"/>
      <c r="C7" s="11"/>
      <c r="D7" s="11"/>
      <c r="E7" s="11"/>
      <c r="F7" s="11"/>
      <c r="G7" s="12"/>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3" t="str">
        <f t="shared" si="0"/>
        <v/>
      </c>
      <c r="AL7" s="11"/>
      <c r="AM7" s="11" t="str">
        <f t="shared" si="1"/>
        <v/>
      </c>
      <c r="AN7" s="11"/>
      <c r="AO7" s="11"/>
      <c r="AP7" s="11"/>
      <c r="AQ7" s="12"/>
      <c r="AR7" s="12" t="str">
        <f t="shared" si="2"/>
        <v/>
      </c>
      <c r="AS7" s="11"/>
    </row>
    <row r="8" spans="1:45" x14ac:dyDescent="0.2">
      <c r="A8" s="11"/>
      <c r="B8" s="11"/>
      <c r="C8" s="11"/>
      <c r="D8" s="11"/>
      <c r="E8" s="11"/>
      <c r="F8" s="11"/>
      <c r="G8" s="12"/>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3" t="str">
        <f t="shared" si="0"/>
        <v/>
      </c>
      <c r="AL8" s="11"/>
      <c r="AM8" s="11" t="str">
        <f t="shared" si="1"/>
        <v/>
      </c>
      <c r="AN8" s="11"/>
      <c r="AO8" s="11"/>
      <c r="AP8" s="11"/>
      <c r="AQ8" s="12"/>
      <c r="AR8" s="12" t="str">
        <f t="shared" si="2"/>
        <v/>
      </c>
      <c r="AS8" s="11"/>
    </row>
    <row r="9" spans="1:45" x14ac:dyDescent="0.2">
      <c r="A9" s="11"/>
      <c r="B9" s="11"/>
      <c r="C9" s="11"/>
      <c r="D9" s="11"/>
      <c r="E9" s="11"/>
      <c r="F9" s="11"/>
      <c r="G9" s="12"/>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3" t="str">
        <f t="shared" si="0"/>
        <v/>
      </c>
      <c r="AL9" s="11"/>
      <c r="AM9" s="11" t="str">
        <f t="shared" si="1"/>
        <v/>
      </c>
      <c r="AN9" s="11"/>
      <c r="AO9" s="11"/>
      <c r="AP9" s="11"/>
      <c r="AQ9" s="12"/>
      <c r="AR9" s="12" t="str">
        <f t="shared" si="2"/>
        <v/>
      </c>
      <c r="AS9" s="11"/>
    </row>
    <row r="10" spans="1:45" x14ac:dyDescent="0.2">
      <c r="A10" s="11"/>
      <c r="B10" s="11"/>
      <c r="C10" s="11"/>
      <c r="D10" s="11"/>
      <c r="E10" s="11"/>
      <c r="F10" s="11"/>
      <c r="G10" s="12"/>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3" t="str">
        <f t="shared" si="0"/>
        <v/>
      </c>
      <c r="AL10" s="11"/>
      <c r="AM10" s="11" t="str">
        <f t="shared" si="1"/>
        <v/>
      </c>
      <c r="AN10" s="11"/>
      <c r="AO10" s="11"/>
      <c r="AP10" s="11"/>
      <c r="AQ10" s="12"/>
      <c r="AR10" s="12" t="str">
        <f t="shared" si="2"/>
        <v/>
      </c>
      <c r="AS10" s="11"/>
    </row>
    <row r="11" spans="1:45" x14ac:dyDescent="0.2">
      <c r="A11" s="11"/>
      <c r="B11" s="11"/>
      <c r="C11" s="11"/>
      <c r="D11" s="11"/>
      <c r="E11" s="11"/>
      <c r="F11" s="11"/>
      <c r="G11" s="12"/>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3" t="str">
        <f t="shared" si="0"/>
        <v/>
      </c>
      <c r="AL11" s="11"/>
      <c r="AM11" s="11" t="str">
        <f t="shared" si="1"/>
        <v/>
      </c>
      <c r="AN11" s="11"/>
      <c r="AO11" s="11"/>
      <c r="AP11" s="11"/>
      <c r="AQ11" s="12"/>
      <c r="AR11" s="12" t="str">
        <f t="shared" si="2"/>
        <v/>
      </c>
      <c r="AS11" s="11"/>
    </row>
    <row r="12" spans="1:45" x14ac:dyDescent="0.2">
      <c r="A12" s="11"/>
      <c r="B12" s="11"/>
      <c r="C12" s="11"/>
      <c r="D12" s="11"/>
      <c r="E12" s="11"/>
      <c r="F12" s="11"/>
      <c r="G12" s="12"/>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3" t="str">
        <f t="shared" si="0"/>
        <v/>
      </c>
      <c r="AL12" s="11"/>
      <c r="AM12" s="11" t="str">
        <f t="shared" si="1"/>
        <v/>
      </c>
      <c r="AN12" s="11"/>
      <c r="AO12" s="11"/>
      <c r="AP12" s="11"/>
      <c r="AQ12" s="12"/>
      <c r="AR12" s="12" t="str">
        <f t="shared" si="2"/>
        <v/>
      </c>
      <c r="AS12" s="11"/>
    </row>
    <row r="13" spans="1:45" x14ac:dyDescent="0.2">
      <c r="A13" s="11"/>
      <c r="B13" s="11"/>
      <c r="C13" s="11"/>
      <c r="D13" s="11"/>
      <c r="E13" s="11"/>
      <c r="F13" s="11"/>
      <c r="G13" s="12"/>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3" t="str">
        <f t="shared" si="0"/>
        <v/>
      </c>
      <c r="AL13" s="11"/>
      <c r="AM13" s="11" t="str">
        <f t="shared" si="1"/>
        <v/>
      </c>
      <c r="AN13" s="11"/>
      <c r="AO13" s="11"/>
      <c r="AP13" s="11"/>
      <c r="AQ13" s="12"/>
      <c r="AR13" s="12" t="str">
        <f t="shared" si="2"/>
        <v/>
      </c>
      <c r="AS13" s="11"/>
    </row>
    <row r="14" spans="1:45" x14ac:dyDescent="0.2">
      <c r="A14" s="11"/>
      <c r="B14" s="11"/>
      <c r="C14" s="11"/>
      <c r="D14" s="11"/>
      <c r="E14" s="11"/>
      <c r="F14" s="11"/>
      <c r="G14" s="12"/>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3" t="str">
        <f t="shared" si="0"/>
        <v/>
      </c>
      <c r="AL14" s="11"/>
      <c r="AM14" s="11" t="str">
        <f t="shared" si="1"/>
        <v/>
      </c>
      <c r="AN14" s="11"/>
      <c r="AO14" s="11"/>
      <c r="AP14" s="11"/>
      <c r="AQ14" s="12"/>
      <c r="AR14" s="12" t="str">
        <f t="shared" si="2"/>
        <v/>
      </c>
      <c r="AS14" s="11"/>
    </row>
    <row r="15" spans="1:45" x14ac:dyDescent="0.2">
      <c r="A15" s="11"/>
      <c r="B15" s="11"/>
      <c r="C15" s="11"/>
      <c r="D15" s="11"/>
      <c r="E15" s="11"/>
      <c r="F15" s="11"/>
      <c r="G15" s="12"/>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3" t="str">
        <f t="shared" si="0"/>
        <v/>
      </c>
      <c r="AL15" s="11"/>
      <c r="AM15" s="11" t="str">
        <f t="shared" si="1"/>
        <v/>
      </c>
      <c r="AN15" s="11"/>
      <c r="AO15" s="11"/>
      <c r="AP15" s="11"/>
      <c r="AQ15" s="12"/>
      <c r="AR15" s="12" t="str">
        <f t="shared" si="2"/>
        <v/>
      </c>
      <c r="AS15" s="11"/>
    </row>
    <row r="16" spans="1:45" x14ac:dyDescent="0.2">
      <c r="A16" s="11"/>
      <c r="B16" s="11"/>
      <c r="C16" s="11"/>
      <c r="D16" s="11"/>
      <c r="E16" s="11"/>
      <c r="F16" s="11"/>
      <c r="G16" s="12"/>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3" t="str">
        <f t="shared" si="0"/>
        <v/>
      </c>
      <c r="AL16" s="11"/>
      <c r="AM16" s="11" t="str">
        <f t="shared" si="1"/>
        <v/>
      </c>
      <c r="AN16" s="11"/>
      <c r="AO16" s="11"/>
      <c r="AP16" s="11"/>
      <c r="AQ16" s="12"/>
      <c r="AR16" s="12" t="str">
        <f t="shared" si="2"/>
        <v/>
      </c>
      <c r="AS16" s="11"/>
    </row>
    <row r="17" spans="1:45" x14ac:dyDescent="0.2">
      <c r="A17" s="11"/>
      <c r="B17" s="11"/>
      <c r="C17" s="11"/>
      <c r="D17" s="11"/>
      <c r="E17" s="11"/>
      <c r="F17" s="11"/>
      <c r="G17" s="12"/>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3" t="str">
        <f t="shared" si="0"/>
        <v/>
      </c>
      <c r="AL17" s="11"/>
      <c r="AM17" s="11" t="str">
        <f t="shared" si="1"/>
        <v/>
      </c>
      <c r="AN17" s="11"/>
      <c r="AO17" s="11"/>
      <c r="AP17" s="11"/>
      <c r="AQ17" s="12"/>
      <c r="AR17" s="12" t="str">
        <f t="shared" si="2"/>
        <v/>
      </c>
      <c r="AS17" s="11"/>
    </row>
    <row r="18" spans="1:45" x14ac:dyDescent="0.2">
      <c r="A18" s="11"/>
      <c r="B18" s="11"/>
      <c r="C18" s="11"/>
      <c r="D18" s="11"/>
      <c r="E18" s="11"/>
      <c r="F18" s="11"/>
      <c r="G18" s="12"/>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3" t="str">
        <f t="shared" si="0"/>
        <v/>
      </c>
      <c r="AL18" s="11"/>
      <c r="AM18" s="11" t="str">
        <f t="shared" si="1"/>
        <v/>
      </c>
      <c r="AN18" s="11"/>
      <c r="AO18" s="11"/>
      <c r="AP18" s="11"/>
      <c r="AQ18" s="12"/>
      <c r="AR18" s="12" t="str">
        <f t="shared" si="2"/>
        <v/>
      </c>
      <c r="AS18" s="11"/>
    </row>
    <row r="19" spans="1:45" x14ac:dyDescent="0.2">
      <c r="A19" s="11"/>
      <c r="B19" s="11"/>
      <c r="C19" s="11"/>
      <c r="D19" s="11"/>
      <c r="E19" s="11"/>
      <c r="F19" s="11"/>
      <c r="G19" s="12"/>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3" t="str">
        <f t="shared" si="0"/>
        <v/>
      </c>
      <c r="AL19" s="11"/>
      <c r="AM19" s="11" t="str">
        <f t="shared" si="1"/>
        <v/>
      </c>
      <c r="AN19" s="11"/>
      <c r="AO19" s="11"/>
      <c r="AP19" s="11"/>
      <c r="AQ19" s="12"/>
      <c r="AR19" s="12" t="str">
        <f t="shared" si="2"/>
        <v/>
      </c>
      <c r="AS19" s="11"/>
    </row>
    <row r="20" spans="1:45" x14ac:dyDescent="0.2">
      <c r="A20" s="11"/>
      <c r="B20" s="11"/>
      <c r="C20" s="11"/>
      <c r="D20" s="11"/>
      <c r="E20" s="11"/>
      <c r="F20" s="11"/>
      <c r="G20" s="12"/>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3" t="str">
        <f t="shared" si="0"/>
        <v/>
      </c>
      <c r="AL20" s="11"/>
      <c r="AM20" s="11" t="str">
        <f t="shared" si="1"/>
        <v/>
      </c>
      <c r="AN20" s="11"/>
      <c r="AO20" s="11"/>
      <c r="AP20" s="11"/>
      <c r="AQ20" s="12"/>
      <c r="AR20" s="12" t="str">
        <f t="shared" si="2"/>
        <v/>
      </c>
      <c r="AS20" s="11"/>
    </row>
    <row r="21" spans="1:45" x14ac:dyDescent="0.2">
      <c r="A21" s="11"/>
      <c r="B21" s="11"/>
      <c r="C21" s="11"/>
      <c r="D21" s="11"/>
      <c r="E21" s="11"/>
      <c r="F21" s="11"/>
      <c r="G21" s="12"/>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3" t="str">
        <f t="shared" si="0"/>
        <v/>
      </c>
      <c r="AL21" s="11"/>
      <c r="AM21" s="11" t="str">
        <f t="shared" si="1"/>
        <v/>
      </c>
      <c r="AN21" s="11"/>
      <c r="AO21" s="11"/>
      <c r="AP21" s="11"/>
      <c r="AQ21" s="12"/>
      <c r="AR21" s="12" t="str">
        <f t="shared" si="2"/>
        <v/>
      </c>
      <c r="AS21" s="11"/>
    </row>
    <row r="22" spans="1:45" x14ac:dyDescent="0.2">
      <c r="A22" s="11"/>
      <c r="B22" s="11"/>
      <c r="C22" s="11"/>
      <c r="D22" s="11"/>
      <c r="E22" s="11"/>
      <c r="F22" s="11"/>
      <c r="G22" s="12"/>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3" t="str">
        <f t="shared" si="0"/>
        <v/>
      </c>
      <c r="AL22" s="11"/>
      <c r="AM22" s="11" t="str">
        <f t="shared" si="1"/>
        <v/>
      </c>
      <c r="AN22" s="11"/>
      <c r="AO22" s="11"/>
      <c r="AP22" s="11"/>
      <c r="AQ22" s="12"/>
      <c r="AR22" s="12" t="str">
        <f t="shared" si="2"/>
        <v/>
      </c>
      <c r="AS22" s="11"/>
    </row>
    <row r="23" spans="1:45" x14ac:dyDescent="0.2">
      <c r="A23" s="11"/>
      <c r="B23" s="11"/>
      <c r="C23" s="11"/>
      <c r="D23" s="11"/>
      <c r="E23" s="11"/>
      <c r="F23" s="11"/>
      <c r="G23" s="12"/>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3" t="str">
        <f t="shared" si="0"/>
        <v/>
      </c>
      <c r="AL23" s="11"/>
      <c r="AM23" s="11" t="str">
        <f t="shared" si="1"/>
        <v/>
      </c>
      <c r="AN23" s="11"/>
      <c r="AO23" s="11"/>
      <c r="AP23" s="11"/>
      <c r="AQ23" s="12"/>
      <c r="AR23" s="12" t="str">
        <f t="shared" si="2"/>
        <v/>
      </c>
      <c r="AS23" s="11"/>
    </row>
    <row r="24" spans="1:45" x14ac:dyDescent="0.2">
      <c r="A24" s="11"/>
      <c r="B24" s="11"/>
      <c r="C24" s="11"/>
      <c r="D24" s="11"/>
      <c r="E24" s="11"/>
      <c r="F24" s="11"/>
      <c r="G24" s="12"/>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3" t="str">
        <f t="shared" si="0"/>
        <v/>
      </c>
      <c r="AL24" s="11"/>
      <c r="AM24" s="11" t="str">
        <f t="shared" si="1"/>
        <v/>
      </c>
      <c r="AN24" s="11"/>
      <c r="AO24" s="11"/>
      <c r="AP24" s="11"/>
      <c r="AQ24" s="12"/>
      <c r="AR24" s="12" t="str">
        <f t="shared" si="2"/>
        <v/>
      </c>
      <c r="AS24" s="11"/>
    </row>
    <row r="25" spans="1:45" x14ac:dyDescent="0.2">
      <c r="A25" s="11"/>
      <c r="B25" s="11"/>
      <c r="C25" s="11"/>
      <c r="D25" s="11"/>
      <c r="E25" s="11"/>
      <c r="F25" s="11"/>
      <c r="G25" s="12"/>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3" t="str">
        <f t="shared" si="0"/>
        <v/>
      </c>
      <c r="AL25" s="11"/>
      <c r="AM25" s="11" t="str">
        <f t="shared" si="1"/>
        <v/>
      </c>
      <c r="AN25" s="11"/>
      <c r="AO25" s="11"/>
      <c r="AP25" s="11"/>
      <c r="AQ25" s="12"/>
      <c r="AR25" s="12" t="str">
        <f t="shared" si="2"/>
        <v/>
      </c>
      <c r="AS25" s="11"/>
    </row>
    <row r="26" spans="1:45" x14ac:dyDescent="0.2">
      <c r="A26" s="11"/>
      <c r="B26" s="11"/>
      <c r="C26" s="11"/>
      <c r="D26" s="11"/>
      <c r="E26" s="11"/>
      <c r="F26" s="11"/>
      <c r="G26" s="12"/>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3" t="str">
        <f t="shared" si="0"/>
        <v/>
      </c>
      <c r="AL26" s="11"/>
      <c r="AM26" s="11" t="str">
        <f t="shared" si="1"/>
        <v/>
      </c>
      <c r="AN26" s="11"/>
      <c r="AO26" s="11"/>
      <c r="AP26" s="11"/>
      <c r="AQ26" s="12"/>
      <c r="AR26" s="12" t="str">
        <f t="shared" si="2"/>
        <v/>
      </c>
      <c r="AS26" s="11"/>
    </row>
    <row r="27" spans="1:45" x14ac:dyDescent="0.2">
      <c r="A27" s="11"/>
      <c r="B27" s="11"/>
      <c r="C27" s="11"/>
      <c r="D27" s="11"/>
      <c r="E27" s="11"/>
      <c r="F27" s="11"/>
      <c r="G27" s="12"/>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3" t="str">
        <f t="shared" si="0"/>
        <v/>
      </c>
      <c r="AL27" s="11"/>
      <c r="AM27" s="11" t="str">
        <f t="shared" si="1"/>
        <v/>
      </c>
      <c r="AN27" s="11"/>
      <c r="AO27" s="11"/>
      <c r="AP27" s="11"/>
      <c r="AQ27" s="12"/>
      <c r="AR27" s="12" t="str">
        <f t="shared" si="2"/>
        <v/>
      </c>
      <c r="AS27" s="11"/>
    </row>
    <row r="28" spans="1:45" x14ac:dyDescent="0.2">
      <c r="A28" s="11"/>
      <c r="B28" s="11"/>
      <c r="C28" s="11"/>
      <c r="D28" s="11"/>
      <c r="E28" s="11"/>
      <c r="F28" s="11"/>
      <c r="G28" s="12"/>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3" t="str">
        <f t="shared" si="0"/>
        <v/>
      </c>
      <c r="AL28" s="11"/>
      <c r="AM28" s="11" t="str">
        <f t="shared" si="1"/>
        <v/>
      </c>
      <c r="AN28" s="11"/>
      <c r="AO28" s="11"/>
      <c r="AP28" s="11"/>
      <c r="AQ28" s="12"/>
      <c r="AR28" s="12" t="str">
        <f t="shared" si="2"/>
        <v/>
      </c>
      <c r="AS28" s="11"/>
    </row>
    <row r="29" spans="1:45" x14ac:dyDescent="0.2">
      <c r="A29" s="11"/>
      <c r="B29" s="11"/>
      <c r="C29" s="11"/>
      <c r="D29" s="11"/>
      <c r="E29" s="11"/>
      <c r="F29" s="11"/>
      <c r="G29" s="12"/>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3" t="str">
        <f t="shared" si="0"/>
        <v/>
      </c>
      <c r="AL29" s="11"/>
      <c r="AM29" s="11" t="str">
        <f t="shared" si="1"/>
        <v/>
      </c>
      <c r="AN29" s="11"/>
      <c r="AO29" s="11"/>
      <c r="AP29" s="11"/>
      <c r="AQ29" s="12"/>
      <c r="AR29" s="12" t="str">
        <f t="shared" si="2"/>
        <v/>
      </c>
      <c r="AS29" s="11"/>
    </row>
    <row r="30" spans="1:45" x14ac:dyDescent="0.2">
      <c r="A30" s="11"/>
      <c r="B30" s="11"/>
      <c r="C30" s="11"/>
      <c r="D30" s="11"/>
      <c r="E30" s="11"/>
      <c r="F30" s="11"/>
      <c r="G30" s="12"/>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3" t="str">
        <f t="shared" si="0"/>
        <v/>
      </c>
      <c r="AL30" s="11"/>
      <c r="AM30" s="11" t="str">
        <f t="shared" si="1"/>
        <v/>
      </c>
      <c r="AN30" s="11"/>
      <c r="AO30" s="11"/>
      <c r="AP30" s="11"/>
      <c r="AQ30" s="12"/>
      <c r="AR30" s="12" t="str">
        <f t="shared" si="2"/>
        <v/>
      </c>
      <c r="AS30" s="11"/>
    </row>
    <row r="31" spans="1:45" x14ac:dyDescent="0.2">
      <c r="A31" s="11"/>
      <c r="B31" s="11"/>
      <c r="C31" s="11"/>
      <c r="D31" s="11"/>
      <c r="E31" s="11"/>
      <c r="F31" s="11"/>
      <c r="G31" s="12"/>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3" t="str">
        <f t="shared" si="0"/>
        <v/>
      </c>
      <c r="AL31" s="11"/>
      <c r="AM31" s="11" t="str">
        <f t="shared" si="1"/>
        <v/>
      </c>
      <c r="AN31" s="11"/>
      <c r="AO31" s="11"/>
      <c r="AP31" s="11"/>
      <c r="AQ31" s="12"/>
      <c r="AR31" s="12" t="str">
        <f t="shared" si="2"/>
        <v/>
      </c>
      <c r="AS31" s="11"/>
    </row>
    <row r="32" spans="1:45" x14ac:dyDescent="0.2">
      <c r="A32" s="11"/>
      <c r="B32" s="11"/>
      <c r="C32" s="11"/>
      <c r="D32" s="11"/>
      <c r="E32" s="11"/>
      <c r="F32" s="11"/>
      <c r="G32" s="12"/>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3" t="str">
        <f t="shared" si="0"/>
        <v/>
      </c>
      <c r="AL32" s="11"/>
      <c r="AM32" s="11" t="str">
        <f t="shared" si="1"/>
        <v/>
      </c>
      <c r="AN32" s="11"/>
      <c r="AO32" s="11"/>
      <c r="AP32" s="11"/>
      <c r="AQ32" s="12"/>
      <c r="AR32" s="12" t="str">
        <f t="shared" si="2"/>
        <v/>
      </c>
      <c r="AS32" s="11"/>
    </row>
    <row r="33" spans="1:45" x14ac:dyDescent="0.2">
      <c r="A33" s="11"/>
      <c r="B33" s="11"/>
      <c r="C33" s="11"/>
      <c r="D33" s="11"/>
      <c r="E33" s="11"/>
      <c r="F33" s="11"/>
      <c r="G33" s="12"/>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3" t="str">
        <f t="shared" si="0"/>
        <v/>
      </c>
      <c r="AL33" s="11"/>
      <c r="AM33" s="11" t="str">
        <f t="shared" si="1"/>
        <v/>
      </c>
      <c r="AN33" s="11"/>
      <c r="AO33" s="11"/>
      <c r="AP33" s="11"/>
      <c r="AQ33" s="12"/>
      <c r="AR33" s="12" t="str">
        <f t="shared" si="2"/>
        <v/>
      </c>
      <c r="AS33" s="11"/>
    </row>
    <row r="34" spans="1:45" x14ac:dyDescent="0.2">
      <c r="A34" s="11"/>
      <c r="B34" s="11"/>
      <c r="C34" s="11"/>
      <c r="D34" s="11"/>
      <c r="E34" s="11"/>
      <c r="F34" s="11"/>
      <c r="G34" s="12"/>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3" t="str">
        <f t="shared" si="0"/>
        <v/>
      </c>
      <c r="AL34" s="11"/>
      <c r="AM34" s="11" t="str">
        <f t="shared" si="1"/>
        <v/>
      </c>
      <c r="AN34" s="11"/>
      <c r="AO34" s="11"/>
      <c r="AP34" s="11"/>
      <c r="AQ34" s="12"/>
      <c r="AR34" s="12" t="str">
        <f t="shared" si="2"/>
        <v/>
      </c>
      <c r="AS34" s="11"/>
    </row>
    <row r="35" spans="1:45" x14ac:dyDescent="0.2">
      <c r="A35" s="11"/>
      <c r="B35" s="11"/>
      <c r="C35" s="11"/>
      <c r="D35" s="11"/>
      <c r="E35" s="11"/>
      <c r="F35" s="11"/>
      <c r="G35" s="12"/>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3" t="str">
        <f t="shared" si="0"/>
        <v/>
      </c>
      <c r="AL35" s="11"/>
      <c r="AM35" s="11" t="str">
        <f t="shared" si="1"/>
        <v/>
      </c>
      <c r="AN35" s="11"/>
      <c r="AO35" s="11"/>
      <c r="AP35" s="11"/>
      <c r="AQ35" s="12"/>
      <c r="AR35" s="12" t="str">
        <f t="shared" si="2"/>
        <v/>
      </c>
      <c r="AS35" s="11"/>
    </row>
    <row r="36" spans="1:45" x14ac:dyDescent="0.2">
      <c r="A36" s="11"/>
      <c r="B36" s="11"/>
      <c r="C36" s="11"/>
      <c r="D36" s="11"/>
      <c r="E36" s="11"/>
      <c r="F36" s="11"/>
      <c r="G36" s="12"/>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3" t="str">
        <f t="shared" si="0"/>
        <v/>
      </c>
      <c r="AL36" s="11"/>
      <c r="AM36" s="11" t="str">
        <f t="shared" si="1"/>
        <v/>
      </c>
      <c r="AN36" s="11"/>
      <c r="AO36" s="11"/>
      <c r="AP36" s="11"/>
      <c r="AQ36" s="12"/>
      <c r="AR36" s="12" t="str">
        <f t="shared" si="2"/>
        <v/>
      </c>
      <c r="AS36" s="11"/>
    </row>
    <row r="37" spans="1:45" x14ac:dyDescent="0.2">
      <c r="A37" s="11"/>
      <c r="B37" s="11"/>
      <c r="C37" s="11"/>
      <c r="D37" s="11"/>
      <c r="E37" s="11"/>
      <c r="F37" s="11"/>
      <c r="G37" s="12"/>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3" t="str">
        <f t="shared" si="0"/>
        <v/>
      </c>
      <c r="AL37" s="11"/>
      <c r="AM37" s="11" t="str">
        <f t="shared" si="1"/>
        <v/>
      </c>
      <c r="AN37" s="11"/>
      <c r="AO37" s="11"/>
      <c r="AP37" s="11"/>
      <c r="AQ37" s="12"/>
      <c r="AR37" s="12" t="str">
        <f t="shared" si="2"/>
        <v/>
      </c>
      <c r="AS37" s="11"/>
    </row>
    <row r="38" spans="1:45" x14ac:dyDescent="0.2">
      <c r="A38" s="11"/>
      <c r="B38" s="11"/>
      <c r="C38" s="11"/>
      <c r="D38" s="11"/>
      <c r="E38" s="11"/>
      <c r="F38" s="11"/>
      <c r="G38" s="12"/>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3" t="str">
        <f t="shared" si="0"/>
        <v/>
      </c>
      <c r="AL38" s="11"/>
      <c r="AM38" s="11" t="str">
        <f t="shared" si="1"/>
        <v/>
      </c>
      <c r="AN38" s="11"/>
      <c r="AO38" s="11"/>
      <c r="AP38" s="11"/>
      <c r="AQ38" s="12"/>
      <c r="AR38" s="12" t="str">
        <f t="shared" si="2"/>
        <v/>
      </c>
      <c r="AS38" s="11"/>
    </row>
    <row r="39" spans="1:45" x14ac:dyDescent="0.2">
      <c r="A39" s="11"/>
      <c r="B39" s="11"/>
      <c r="C39" s="11"/>
      <c r="D39" s="11"/>
      <c r="E39" s="11"/>
      <c r="F39" s="11"/>
      <c r="G39" s="12"/>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3" t="str">
        <f t="shared" si="0"/>
        <v/>
      </c>
      <c r="AL39" s="11"/>
      <c r="AM39" s="11" t="str">
        <f t="shared" si="1"/>
        <v/>
      </c>
      <c r="AN39" s="11"/>
      <c r="AO39" s="11"/>
      <c r="AP39" s="11"/>
      <c r="AQ39" s="12"/>
      <c r="AR39" s="12" t="str">
        <f t="shared" si="2"/>
        <v/>
      </c>
      <c r="AS39" s="11"/>
    </row>
    <row r="40" spans="1:45" x14ac:dyDescent="0.2">
      <c r="A40" s="11"/>
      <c r="B40" s="11"/>
      <c r="C40" s="11"/>
      <c r="D40" s="11"/>
      <c r="E40" s="11"/>
      <c r="F40" s="11"/>
      <c r="G40" s="12"/>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3" t="str">
        <f t="shared" si="0"/>
        <v/>
      </c>
      <c r="AL40" s="11"/>
      <c r="AM40" s="11" t="str">
        <f t="shared" si="1"/>
        <v/>
      </c>
      <c r="AN40" s="11"/>
      <c r="AO40" s="11"/>
      <c r="AP40" s="11"/>
      <c r="AQ40" s="12"/>
      <c r="AR40" s="12" t="str">
        <f t="shared" si="2"/>
        <v/>
      </c>
      <c r="AS40" s="11"/>
    </row>
    <row r="41" spans="1:45" x14ac:dyDescent="0.2">
      <c r="A41" s="11"/>
      <c r="B41" s="11"/>
      <c r="C41" s="11"/>
      <c r="D41" s="11"/>
      <c r="E41" s="11"/>
      <c r="F41" s="11"/>
      <c r="G41" s="12"/>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3" t="str">
        <f t="shared" si="0"/>
        <v/>
      </c>
      <c r="AL41" s="11"/>
      <c r="AM41" s="11" t="str">
        <f t="shared" si="1"/>
        <v/>
      </c>
      <c r="AN41" s="11"/>
      <c r="AO41" s="11"/>
      <c r="AP41" s="11"/>
      <c r="AQ41" s="12"/>
      <c r="AR41" s="12" t="str">
        <f t="shared" si="2"/>
        <v/>
      </c>
      <c r="AS41" s="11"/>
    </row>
    <row r="42" spans="1:45" x14ac:dyDescent="0.2">
      <c r="A42" s="11"/>
      <c r="B42" s="11"/>
      <c r="C42" s="11"/>
      <c r="D42" s="11"/>
      <c r="E42" s="11"/>
      <c r="F42" s="11"/>
      <c r="G42" s="12"/>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3" t="str">
        <f t="shared" si="0"/>
        <v/>
      </c>
      <c r="AL42" s="11"/>
      <c r="AM42" s="11" t="str">
        <f t="shared" si="1"/>
        <v/>
      </c>
      <c r="AN42" s="11"/>
      <c r="AO42" s="11"/>
      <c r="AP42" s="11"/>
      <c r="AQ42" s="12"/>
      <c r="AR42" s="12" t="str">
        <f t="shared" si="2"/>
        <v/>
      </c>
      <c r="AS42" s="11"/>
    </row>
    <row r="43" spans="1:45" x14ac:dyDescent="0.2">
      <c r="A43" s="11"/>
      <c r="B43" s="11"/>
      <c r="C43" s="11"/>
      <c r="D43" s="11"/>
      <c r="E43" s="11"/>
      <c r="F43" s="11"/>
      <c r="G43" s="12"/>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3" t="str">
        <f t="shared" si="0"/>
        <v/>
      </c>
      <c r="AL43" s="11"/>
      <c r="AM43" s="11" t="str">
        <f t="shared" si="1"/>
        <v/>
      </c>
      <c r="AN43" s="11"/>
      <c r="AO43" s="11"/>
      <c r="AP43" s="11"/>
      <c r="AQ43" s="12"/>
      <c r="AR43" s="12" t="str">
        <f t="shared" si="2"/>
        <v/>
      </c>
      <c r="AS43" s="11"/>
    </row>
    <row r="44" spans="1:45" x14ac:dyDescent="0.2">
      <c r="A44" s="11"/>
      <c r="B44" s="11"/>
      <c r="C44" s="11"/>
      <c r="D44" s="11"/>
      <c r="E44" s="11"/>
      <c r="F44" s="11"/>
      <c r="G44" s="12"/>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3" t="str">
        <f t="shared" si="0"/>
        <v/>
      </c>
      <c r="AL44" s="11"/>
      <c r="AM44" s="11" t="str">
        <f t="shared" si="1"/>
        <v/>
      </c>
      <c r="AN44" s="11"/>
      <c r="AO44" s="11"/>
      <c r="AP44" s="11"/>
      <c r="AQ44" s="12"/>
      <c r="AR44" s="12" t="str">
        <f t="shared" si="2"/>
        <v/>
      </c>
      <c r="AS44" s="11"/>
    </row>
    <row r="45" spans="1:45" x14ac:dyDescent="0.2">
      <c r="A45" s="11"/>
      <c r="B45" s="11"/>
      <c r="C45" s="11"/>
      <c r="D45" s="11"/>
      <c r="E45" s="11"/>
      <c r="F45" s="11"/>
      <c r="G45" s="12"/>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3" t="str">
        <f t="shared" si="0"/>
        <v/>
      </c>
      <c r="AL45" s="11"/>
      <c r="AM45" s="11" t="str">
        <f t="shared" si="1"/>
        <v/>
      </c>
      <c r="AN45" s="11"/>
      <c r="AO45" s="11"/>
      <c r="AP45" s="11"/>
      <c r="AQ45" s="12"/>
      <c r="AR45" s="12" t="str">
        <f t="shared" si="2"/>
        <v/>
      </c>
      <c r="AS45" s="11"/>
    </row>
    <row r="46" spans="1:45" x14ac:dyDescent="0.2">
      <c r="A46" s="11"/>
      <c r="B46" s="11"/>
      <c r="C46" s="11"/>
      <c r="D46" s="11"/>
      <c r="E46" s="11"/>
      <c r="F46" s="11"/>
      <c r="G46" s="12"/>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3" t="str">
        <f t="shared" si="0"/>
        <v/>
      </c>
      <c r="AL46" s="11"/>
      <c r="AM46" s="11" t="str">
        <f t="shared" si="1"/>
        <v/>
      </c>
      <c r="AN46" s="11"/>
      <c r="AO46" s="11"/>
      <c r="AP46" s="11"/>
      <c r="AQ46" s="12"/>
      <c r="AR46" s="12" t="str">
        <f t="shared" si="2"/>
        <v/>
      </c>
      <c r="AS46" s="11"/>
    </row>
    <row r="47" spans="1:45" x14ac:dyDescent="0.2">
      <c r="A47" s="11"/>
      <c r="B47" s="11"/>
      <c r="C47" s="11"/>
      <c r="D47" s="11"/>
      <c r="E47" s="11"/>
      <c r="F47" s="11"/>
      <c r="G47" s="12"/>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3" t="str">
        <f t="shared" si="0"/>
        <v/>
      </c>
      <c r="AL47" s="11"/>
      <c r="AM47" s="11" t="str">
        <f t="shared" si="1"/>
        <v/>
      </c>
      <c r="AN47" s="11"/>
      <c r="AO47" s="11"/>
      <c r="AP47" s="11"/>
      <c r="AQ47" s="12"/>
      <c r="AR47" s="12" t="str">
        <f t="shared" si="2"/>
        <v/>
      </c>
      <c r="AS47" s="11"/>
    </row>
    <row r="48" spans="1:45" x14ac:dyDescent="0.2">
      <c r="A48" s="11"/>
      <c r="B48" s="11"/>
      <c r="C48" s="11"/>
      <c r="D48" s="11"/>
      <c r="E48" s="11"/>
      <c r="F48" s="11"/>
      <c r="G48" s="12"/>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3" t="str">
        <f t="shared" si="0"/>
        <v/>
      </c>
      <c r="AL48" s="11"/>
      <c r="AM48" s="11" t="str">
        <f t="shared" si="1"/>
        <v/>
      </c>
      <c r="AN48" s="11"/>
      <c r="AO48" s="11"/>
      <c r="AP48" s="11"/>
      <c r="AQ48" s="12"/>
      <c r="AR48" s="12" t="str">
        <f t="shared" si="2"/>
        <v/>
      </c>
      <c r="AS48" s="11"/>
    </row>
    <row r="49" spans="1:45" x14ac:dyDescent="0.2">
      <c r="A49" s="11"/>
      <c r="B49" s="11"/>
      <c r="C49" s="11"/>
      <c r="D49" s="11"/>
      <c r="E49" s="11"/>
      <c r="F49" s="11"/>
      <c r="G49" s="12"/>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3" t="str">
        <f t="shared" si="0"/>
        <v/>
      </c>
      <c r="AL49" s="11"/>
      <c r="AM49" s="11" t="str">
        <f t="shared" si="1"/>
        <v/>
      </c>
      <c r="AN49" s="11"/>
      <c r="AO49" s="11"/>
      <c r="AP49" s="11"/>
      <c r="AQ49" s="12"/>
      <c r="AR49" s="12" t="str">
        <f t="shared" si="2"/>
        <v/>
      </c>
      <c r="AS49" s="11"/>
    </row>
    <row r="50" spans="1:45" x14ac:dyDescent="0.2">
      <c r="A50" s="11"/>
      <c r="B50" s="11"/>
      <c r="C50" s="11"/>
      <c r="D50" s="11"/>
      <c r="E50" s="11"/>
      <c r="F50" s="11"/>
      <c r="G50" s="12"/>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3" t="str">
        <f t="shared" si="0"/>
        <v/>
      </c>
      <c r="AL50" s="11"/>
      <c r="AM50" s="11" t="str">
        <f t="shared" si="1"/>
        <v/>
      </c>
      <c r="AN50" s="11"/>
      <c r="AO50" s="11"/>
      <c r="AP50" s="11"/>
      <c r="AQ50" s="12"/>
      <c r="AR50" s="12" t="str">
        <f t="shared" si="2"/>
        <v/>
      </c>
      <c r="AS50" s="11"/>
    </row>
    <row r="51" spans="1:45" x14ac:dyDescent="0.2">
      <c r="A51" s="11"/>
      <c r="B51" s="11"/>
      <c r="C51" s="11"/>
      <c r="D51" s="11"/>
      <c r="E51" s="11"/>
      <c r="F51" s="11"/>
      <c r="G51" s="12"/>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3" t="str">
        <f t="shared" si="0"/>
        <v/>
      </c>
      <c r="AL51" s="11"/>
      <c r="AM51" s="11" t="str">
        <f t="shared" si="1"/>
        <v/>
      </c>
      <c r="AN51" s="11"/>
      <c r="AO51" s="11"/>
      <c r="AP51" s="11"/>
      <c r="AQ51" s="12"/>
      <c r="AR51" s="12" t="str">
        <f t="shared" si="2"/>
        <v/>
      </c>
      <c r="AS51" s="11"/>
    </row>
    <row r="52" spans="1:45" x14ac:dyDescent="0.2">
      <c r="A52" s="11"/>
      <c r="B52" s="11"/>
      <c r="C52" s="11"/>
      <c r="D52" s="11"/>
      <c r="E52" s="11"/>
      <c r="F52" s="11"/>
      <c r="G52" s="12"/>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3" t="str">
        <f t="shared" si="0"/>
        <v/>
      </c>
      <c r="AL52" s="11"/>
      <c r="AM52" s="11" t="str">
        <f t="shared" si="1"/>
        <v/>
      </c>
      <c r="AN52" s="11"/>
      <c r="AO52" s="11"/>
      <c r="AP52" s="11"/>
      <c r="AQ52" s="12"/>
      <c r="AR52" s="12" t="str">
        <f t="shared" si="2"/>
        <v/>
      </c>
      <c r="AS52" s="11"/>
    </row>
    <row r="53" spans="1:45" x14ac:dyDescent="0.2">
      <c r="A53" s="11"/>
      <c r="B53" s="11"/>
      <c r="C53" s="11"/>
      <c r="D53" s="11"/>
      <c r="E53" s="11"/>
      <c r="F53" s="11"/>
      <c r="G53" s="12"/>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3" t="str">
        <f t="shared" si="0"/>
        <v/>
      </c>
      <c r="AL53" s="11"/>
      <c r="AM53" s="11" t="str">
        <f t="shared" si="1"/>
        <v/>
      </c>
      <c r="AN53" s="11"/>
      <c r="AO53" s="11"/>
      <c r="AP53" s="11"/>
      <c r="AQ53" s="12"/>
      <c r="AR53" s="12" t="str">
        <f t="shared" si="2"/>
        <v/>
      </c>
      <c r="AS53" s="11"/>
    </row>
    <row r="54" spans="1:45" x14ac:dyDescent="0.2">
      <c r="A54" s="11"/>
      <c r="B54" s="11"/>
      <c r="C54" s="11"/>
      <c r="D54" s="11"/>
      <c r="E54" s="11"/>
      <c r="F54" s="11"/>
      <c r="G54" s="12"/>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3" t="str">
        <f t="shared" si="0"/>
        <v/>
      </c>
      <c r="AL54" s="11"/>
      <c r="AM54" s="11" t="str">
        <f t="shared" si="1"/>
        <v/>
      </c>
      <c r="AN54" s="11"/>
      <c r="AO54" s="11"/>
      <c r="AP54" s="11"/>
      <c r="AQ54" s="12"/>
      <c r="AR54" s="12" t="str">
        <f t="shared" si="2"/>
        <v/>
      </c>
      <c r="AS54" s="11"/>
    </row>
    <row r="55" spans="1:45" x14ac:dyDescent="0.2">
      <c r="A55" s="11"/>
      <c r="B55" s="11"/>
      <c r="C55" s="11"/>
      <c r="D55" s="11"/>
      <c r="E55" s="11"/>
      <c r="F55" s="11"/>
      <c r="G55" s="12"/>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3" t="str">
        <f t="shared" si="0"/>
        <v/>
      </c>
      <c r="AL55" s="11"/>
      <c r="AM55" s="11" t="str">
        <f t="shared" si="1"/>
        <v/>
      </c>
      <c r="AN55" s="11"/>
      <c r="AO55" s="11"/>
      <c r="AP55" s="11"/>
      <c r="AQ55" s="12"/>
      <c r="AR55" s="12" t="str">
        <f t="shared" si="2"/>
        <v/>
      </c>
      <c r="AS55" s="11"/>
    </row>
    <row r="56" spans="1:45" x14ac:dyDescent="0.2">
      <c r="A56" s="11"/>
      <c r="B56" s="11"/>
      <c r="C56" s="11"/>
      <c r="D56" s="11"/>
      <c r="E56" s="11"/>
      <c r="F56" s="11"/>
      <c r="G56" s="12"/>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3" t="str">
        <f t="shared" si="0"/>
        <v/>
      </c>
      <c r="AL56" s="11"/>
      <c r="AM56" s="11" t="str">
        <f t="shared" si="1"/>
        <v/>
      </c>
      <c r="AN56" s="11"/>
      <c r="AO56" s="11"/>
      <c r="AP56" s="11"/>
      <c r="AQ56" s="12"/>
      <c r="AR56" s="12" t="str">
        <f t="shared" si="2"/>
        <v/>
      </c>
      <c r="AS56" s="11"/>
    </row>
    <row r="57" spans="1:45" x14ac:dyDescent="0.2">
      <c r="A57" s="11"/>
      <c r="B57" s="11"/>
      <c r="C57" s="11"/>
      <c r="D57" s="11"/>
      <c r="E57" s="11"/>
      <c r="F57" s="11"/>
      <c r="G57" s="12"/>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3" t="str">
        <f t="shared" si="0"/>
        <v/>
      </c>
      <c r="AL57" s="11"/>
      <c r="AM57" s="11" t="str">
        <f t="shared" si="1"/>
        <v/>
      </c>
      <c r="AN57" s="11"/>
      <c r="AO57" s="11"/>
      <c r="AP57" s="11"/>
      <c r="AQ57" s="12"/>
      <c r="AR57" s="12" t="str">
        <f t="shared" si="2"/>
        <v/>
      </c>
      <c r="AS57" s="11"/>
    </row>
    <row r="58" spans="1:45" x14ac:dyDescent="0.2">
      <c r="A58" s="11"/>
      <c r="B58" s="11"/>
      <c r="C58" s="11"/>
      <c r="D58" s="11"/>
      <c r="E58" s="11"/>
      <c r="F58" s="11"/>
      <c r="G58" s="12"/>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3" t="str">
        <f t="shared" si="0"/>
        <v/>
      </c>
      <c r="AL58" s="11"/>
      <c r="AM58" s="11" t="str">
        <f t="shared" si="1"/>
        <v/>
      </c>
      <c r="AN58" s="11"/>
      <c r="AO58" s="11"/>
      <c r="AP58" s="11"/>
      <c r="AQ58" s="12"/>
      <c r="AR58" s="12" t="str">
        <f t="shared" si="2"/>
        <v/>
      </c>
      <c r="AS58" s="11"/>
    </row>
    <row r="59" spans="1:45" x14ac:dyDescent="0.2">
      <c r="A59" s="11"/>
      <c r="B59" s="11"/>
      <c r="C59" s="11"/>
      <c r="D59" s="11"/>
      <c r="E59" s="11"/>
      <c r="F59" s="11"/>
      <c r="G59" s="12"/>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3" t="str">
        <f t="shared" si="0"/>
        <v/>
      </c>
      <c r="AL59" s="11"/>
      <c r="AM59" s="11" t="str">
        <f t="shared" si="1"/>
        <v/>
      </c>
      <c r="AN59" s="11"/>
      <c r="AO59" s="11"/>
      <c r="AP59" s="11"/>
      <c r="AQ59" s="12"/>
      <c r="AR59" s="12" t="str">
        <f t="shared" si="2"/>
        <v/>
      </c>
      <c r="AS59" s="11"/>
    </row>
    <row r="60" spans="1:45" x14ac:dyDescent="0.2">
      <c r="A60" s="11"/>
      <c r="B60" s="11"/>
      <c r="C60" s="11"/>
      <c r="D60" s="11"/>
      <c r="E60" s="11"/>
      <c r="F60" s="11"/>
      <c r="G60" s="12"/>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3" t="str">
        <f t="shared" si="0"/>
        <v/>
      </c>
      <c r="AL60" s="11"/>
      <c r="AM60" s="11" t="str">
        <f t="shared" si="1"/>
        <v/>
      </c>
      <c r="AN60" s="11"/>
      <c r="AO60" s="11"/>
      <c r="AP60" s="11"/>
      <c r="AQ60" s="12"/>
      <c r="AR60" s="12" t="str">
        <f t="shared" si="2"/>
        <v/>
      </c>
      <c r="AS60" s="11"/>
    </row>
    <row r="61" spans="1:45" x14ac:dyDescent="0.2">
      <c r="A61" s="11"/>
      <c r="B61" s="11"/>
      <c r="C61" s="11"/>
      <c r="D61" s="11"/>
      <c r="E61" s="11"/>
      <c r="F61" s="11"/>
      <c r="G61" s="12"/>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3" t="str">
        <f t="shared" si="0"/>
        <v/>
      </c>
      <c r="AL61" s="11"/>
      <c r="AM61" s="11" t="str">
        <f t="shared" si="1"/>
        <v/>
      </c>
      <c r="AN61" s="11"/>
      <c r="AO61" s="11"/>
      <c r="AP61" s="11"/>
      <c r="AQ61" s="12"/>
      <c r="AR61" s="12" t="str">
        <f t="shared" si="2"/>
        <v/>
      </c>
      <c r="AS61" s="11"/>
    </row>
    <row r="62" spans="1:45" x14ac:dyDescent="0.2">
      <c r="A62" s="11"/>
      <c r="B62" s="11"/>
      <c r="C62" s="11"/>
      <c r="D62" s="11"/>
      <c r="E62" s="11"/>
      <c r="F62" s="11"/>
      <c r="G62" s="12"/>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3" t="str">
        <f t="shared" si="0"/>
        <v/>
      </c>
      <c r="AL62" s="11"/>
      <c r="AM62" s="11" t="str">
        <f t="shared" si="1"/>
        <v/>
      </c>
      <c r="AN62" s="11"/>
      <c r="AO62" s="11"/>
      <c r="AP62" s="11"/>
      <c r="AQ62" s="12"/>
      <c r="AR62" s="12" t="str">
        <f t="shared" si="2"/>
        <v/>
      </c>
      <c r="AS62" s="11"/>
    </row>
    <row r="63" spans="1:45" x14ac:dyDescent="0.2">
      <c r="A63" s="11"/>
      <c r="B63" s="11"/>
      <c r="C63" s="11"/>
      <c r="D63" s="11"/>
      <c r="E63" s="11"/>
      <c r="F63" s="11"/>
      <c r="G63" s="12"/>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3" t="str">
        <f t="shared" si="0"/>
        <v/>
      </c>
      <c r="AL63" s="11"/>
      <c r="AM63" s="11" t="str">
        <f t="shared" si="1"/>
        <v/>
      </c>
      <c r="AN63" s="11"/>
      <c r="AO63" s="11"/>
      <c r="AP63" s="11"/>
      <c r="AQ63" s="12"/>
      <c r="AR63" s="12" t="str">
        <f t="shared" si="2"/>
        <v/>
      </c>
      <c r="AS63" s="11"/>
    </row>
    <row r="64" spans="1:45" x14ac:dyDescent="0.2">
      <c r="A64" s="11"/>
      <c r="B64" s="11"/>
      <c r="C64" s="11"/>
      <c r="D64" s="11"/>
      <c r="E64" s="11"/>
      <c r="F64" s="11"/>
      <c r="G64" s="12"/>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3" t="str">
        <f t="shared" si="0"/>
        <v/>
      </c>
      <c r="AL64" s="11"/>
      <c r="AM64" s="11" t="str">
        <f t="shared" si="1"/>
        <v/>
      </c>
      <c r="AN64" s="11"/>
      <c r="AO64" s="11"/>
      <c r="AP64" s="11"/>
      <c r="AQ64" s="12"/>
      <c r="AR64" s="12" t="str">
        <f t="shared" si="2"/>
        <v/>
      </c>
      <c r="AS64" s="11"/>
    </row>
    <row r="65" spans="1:45" x14ac:dyDescent="0.2">
      <c r="A65" s="11"/>
      <c r="B65" s="11"/>
      <c r="C65" s="11"/>
      <c r="D65" s="11"/>
      <c r="E65" s="11"/>
      <c r="F65" s="11"/>
      <c r="G65" s="12"/>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3" t="str">
        <f t="shared" si="0"/>
        <v/>
      </c>
      <c r="AL65" s="11"/>
      <c r="AM65" s="11" t="str">
        <f t="shared" si="1"/>
        <v/>
      </c>
      <c r="AN65" s="11"/>
      <c r="AO65" s="11"/>
      <c r="AP65" s="11"/>
      <c r="AQ65" s="12"/>
      <c r="AR65" s="12" t="str">
        <f t="shared" si="2"/>
        <v/>
      </c>
      <c r="AS65" s="11"/>
    </row>
    <row r="66" spans="1:45" x14ac:dyDescent="0.2">
      <c r="A66" s="11"/>
      <c r="B66" s="11"/>
      <c r="C66" s="11"/>
      <c r="D66" s="11"/>
      <c r="E66" s="11"/>
      <c r="F66" s="11"/>
      <c r="G66" s="12"/>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3" t="str">
        <f t="shared" si="0"/>
        <v/>
      </c>
      <c r="AL66" s="11"/>
      <c r="AM66" s="11" t="str">
        <f t="shared" si="1"/>
        <v/>
      </c>
      <c r="AN66" s="11"/>
      <c r="AO66" s="11"/>
      <c r="AP66" s="11"/>
      <c r="AQ66" s="12"/>
      <c r="AR66" s="12" t="str">
        <f t="shared" si="2"/>
        <v/>
      </c>
      <c r="AS66" s="11"/>
    </row>
    <row r="67" spans="1:45" x14ac:dyDescent="0.2">
      <c r="A67" s="11"/>
      <c r="B67" s="11"/>
      <c r="C67" s="11"/>
      <c r="D67" s="11"/>
      <c r="E67" s="11"/>
      <c r="F67" s="11"/>
      <c r="G67" s="12"/>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3" t="str">
        <f t="shared" si="0"/>
        <v/>
      </c>
      <c r="AL67" s="11"/>
      <c r="AM67" s="11" t="str">
        <f t="shared" si="1"/>
        <v/>
      </c>
      <c r="AN67" s="11"/>
      <c r="AO67" s="11"/>
      <c r="AP67" s="11"/>
      <c r="AQ67" s="12"/>
      <c r="AR67" s="12" t="str">
        <f t="shared" si="2"/>
        <v/>
      </c>
      <c r="AS67" s="11"/>
    </row>
    <row r="68" spans="1:45" x14ac:dyDescent="0.2">
      <c r="A68" s="11"/>
      <c r="B68" s="11"/>
      <c r="C68" s="11"/>
      <c r="D68" s="11"/>
      <c r="E68" s="11"/>
      <c r="F68" s="11"/>
      <c r="G68" s="12"/>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3" t="str">
        <f t="shared" si="0"/>
        <v/>
      </c>
      <c r="AL68" s="11"/>
      <c r="AM68" s="11" t="str">
        <f t="shared" si="1"/>
        <v/>
      </c>
      <c r="AN68" s="11"/>
      <c r="AO68" s="11"/>
      <c r="AP68" s="11"/>
      <c r="AQ68" s="12"/>
      <c r="AR68" s="12" t="str">
        <f t="shared" si="2"/>
        <v/>
      </c>
      <c r="AS68" s="11"/>
    </row>
    <row r="69" spans="1:45" x14ac:dyDescent="0.2">
      <c r="A69" s="11"/>
      <c r="B69" s="11"/>
      <c r="C69" s="11"/>
      <c r="D69" s="11"/>
      <c r="E69" s="11"/>
      <c r="F69" s="11"/>
      <c r="G69" s="12"/>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3" t="str">
        <f t="shared" ref="AK69:AK132" si="3">IF(C69="","",(B69="")+(C69="")+(D69="")+(E69="")+(F69="")+(H69="")+(I69="")+(J69="")+(L69="")+(M69="")+(Q69="")+(S69="")+(T69="")+(U69="")+(V69="")+(W69="")+(Y69="")+(Z69="")+(AB69="")+(AD69="")+(AE69="")+(AF69="")+(AI69=""))</f>
        <v/>
      </c>
      <c r="AL69" s="11"/>
      <c r="AM69" s="11" t="str">
        <f t="shared" ref="AM69:AM132" si="4">IF(C69="","",IF(OR(T69="Yes",W69="Yes",Y69="Yes",AE69="Yes",AF69="Fully automated"),"Review for High","-"))</f>
        <v/>
      </c>
      <c r="AN69" s="11"/>
      <c r="AO69" s="11"/>
      <c r="AP69" s="11"/>
      <c r="AQ69" s="12"/>
      <c r="AR69" s="12" t="str">
        <f t="shared" ref="AR69:AR132" si="5">IF(OR(AN69="",AQ69=""),"",IF(AN69="High",EDATE(AQ69,3),IF(AN69="Medium",EDATE(AQ69,12),"On material change")))</f>
        <v/>
      </c>
      <c r="AS69" s="11"/>
    </row>
    <row r="70" spans="1:45" x14ac:dyDescent="0.2">
      <c r="A70" s="11"/>
      <c r="B70" s="11"/>
      <c r="C70" s="11"/>
      <c r="D70" s="11"/>
      <c r="E70" s="11"/>
      <c r="F70" s="11"/>
      <c r="G70" s="12"/>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3" t="str">
        <f t="shared" si="3"/>
        <v/>
      </c>
      <c r="AL70" s="11"/>
      <c r="AM70" s="11" t="str">
        <f t="shared" si="4"/>
        <v/>
      </c>
      <c r="AN70" s="11"/>
      <c r="AO70" s="11"/>
      <c r="AP70" s="11"/>
      <c r="AQ70" s="12"/>
      <c r="AR70" s="12" t="str">
        <f t="shared" si="5"/>
        <v/>
      </c>
      <c r="AS70" s="11"/>
    </row>
    <row r="71" spans="1:45" x14ac:dyDescent="0.2">
      <c r="A71" s="11"/>
      <c r="B71" s="11"/>
      <c r="C71" s="11"/>
      <c r="D71" s="11"/>
      <c r="E71" s="11"/>
      <c r="F71" s="11"/>
      <c r="G71" s="12"/>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3" t="str">
        <f t="shared" si="3"/>
        <v/>
      </c>
      <c r="AL71" s="11"/>
      <c r="AM71" s="11" t="str">
        <f t="shared" si="4"/>
        <v/>
      </c>
      <c r="AN71" s="11"/>
      <c r="AO71" s="11"/>
      <c r="AP71" s="11"/>
      <c r="AQ71" s="12"/>
      <c r="AR71" s="12" t="str">
        <f t="shared" si="5"/>
        <v/>
      </c>
      <c r="AS71" s="11"/>
    </row>
    <row r="72" spans="1:45" x14ac:dyDescent="0.2">
      <c r="A72" s="11"/>
      <c r="B72" s="11"/>
      <c r="C72" s="11"/>
      <c r="D72" s="11"/>
      <c r="E72" s="11"/>
      <c r="F72" s="11"/>
      <c r="G72" s="12"/>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3" t="str">
        <f t="shared" si="3"/>
        <v/>
      </c>
      <c r="AL72" s="11"/>
      <c r="AM72" s="11" t="str">
        <f t="shared" si="4"/>
        <v/>
      </c>
      <c r="AN72" s="11"/>
      <c r="AO72" s="11"/>
      <c r="AP72" s="11"/>
      <c r="AQ72" s="12"/>
      <c r="AR72" s="12" t="str">
        <f t="shared" si="5"/>
        <v/>
      </c>
      <c r="AS72" s="11"/>
    </row>
    <row r="73" spans="1:45" x14ac:dyDescent="0.2">
      <c r="A73" s="11"/>
      <c r="B73" s="11"/>
      <c r="C73" s="11"/>
      <c r="D73" s="11"/>
      <c r="E73" s="11"/>
      <c r="F73" s="11"/>
      <c r="G73" s="12"/>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3" t="str">
        <f t="shared" si="3"/>
        <v/>
      </c>
      <c r="AL73" s="11"/>
      <c r="AM73" s="11" t="str">
        <f t="shared" si="4"/>
        <v/>
      </c>
      <c r="AN73" s="11"/>
      <c r="AO73" s="11"/>
      <c r="AP73" s="11"/>
      <c r="AQ73" s="12"/>
      <c r="AR73" s="12" t="str">
        <f t="shared" si="5"/>
        <v/>
      </c>
      <c r="AS73" s="11"/>
    </row>
    <row r="74" spans="1:45" x14ac:dyDescent="0.2">
      <c r="A74" s="11"/>
      <c r="B74" s="11"/>
      <c r="C74" s="11"/>
      <c r="D74" s="11"/>
      <c r="E74" s="11"/>
      <c r="F74" s="11"/>
      <c r="G74" s="12"/>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3" t="str">
        <f t="shared" si="3"/>
        <v/>
      </c>
      <c r="AL74" s="11"/>
      <c r="AM74" s="11" t="str">
        <f t="shared" si="4"/>
        <v/>
      </c>
      <c r="AN74" s="11"/>
      <c r="AO74" s="11"/>
      <c r="AP74" s="11"/>
      <c r="AQ74" s="12"/>
      <c r="AR74" s="12" t="str">
        <f t="shared" si="5"/>
        <v/>
      </c>
      <c r="AS74" s="11"/>
    </row>
    <row r="75" spans="1:45" x14ac:dyDescent="0.2">
      <c r="A75" s="11"/>
      <c r="B75" s="11"/>
      <c r="C75" s="11"/>
      <c r="D75" s="11"/>
      <c r="E75" s="11"/>
      <c r="F75" s="11"/>
      <c r="G75" s="12"/>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3" t="str">
        <f t="shared" si="3"/>
        <v/>
      </c>
      <c r="AL75" s="11"/>
      <c r="AM75" s="11" t="str">
        <f t="shared" si="4"/>
        <v/>
      </c>
      <c r="AN75" s="11"/>
      <c r="AO75" s="11"/>
      <c r="AP75" s="11"/>
      <c r="AQ75" s="12"/>
      <c r="AR75" s="12" t="str">
        <f t="shared" si="5"/>
        <v/>
      </c>
      <c r="AS75" s="11"/>
    </row>
    <row r="76" spans="1:45" x14ac:dyDescent="0.2">
      <c r="A76" s="11"/>
      <c r="B76" s="11"/>
      <c r="C76" s="11"/>
      <c r="D76" s="11"/>
      <c r="E76" s="11"/>
      <c r="F76" s="11"/>
      <c r="G76" s="12"/>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3" t="str">
        <f t="shared" si="3"/>
        <v/>
      </c>
      <c r="AL76" s="11"/>
      <c r="AM76" s="11" t="str">
        <f t="shared" si="4"/>
        <v/>
      </c>
      <c r="AN76" s="11"/>
      <c r="AO76" s="11"/>
      <c r="AP76" s="11"/>
      <c r="AQ76" s="12"/>
      <c r="AR76" s="12" t="str">
        <f t="shared" si="5"/>
        <v/>
      </c>
      <c r="AS76" s="11"/>
    </row>
    <row r="77" spans="1:45" x14ac:dyDescent="0.2">
      <c r="A77" s="11"/>
      <c r="B77" s="11"/>
      <c r="C77" s="11"/>
      <c r="D77" s="11"/>
      <c r="E77" s="11"/>
      <c r="F77" s="11"/>
      <c r="G77" s="12"/>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3" t="str">
        <f t="shared" si="3"/>
        <v/>
      </c>
      <c r="AL77" s="11"/>
      <c r="AM77" s="11" t="str">
        <f t="shared" si="4"/>
        <v/>
      </c>
      <c r="AN77" s="11"/>
      <c r="AO77" s="11"/>
      <c r="AP77" s="11"/>
      <c r="AQ77" s="12"/>
      <c r="AR77" s="12" t="str">
        <f t="shared" si="5"/>
        <v/>
      </c>
      <c r="AS77" s="11"/>
    </row>
    <row r="78" spans="1:45" x14ac:dyDescent="0.2">
      <c r="A78" s="11"/>
      <c r="B78" s="11"/>
      <c r="C78" s="11"/>
      <c r="D78" s="11"/>
      <c r="E78" s="11"/>
      <c r="F78" s="11"/>
      <c r="G78" s="12"/>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3" t="str">
        <f t="shared" si="3"/>
        <v/>
      </c>
      <c r="AL78" s="11"/>
      <c r="AM78" s="11" t="str">
        <f t="shared" si="4"/>
        <v/>
      </c>
      <c r="AN78" s="11"/>
      <c r="AO78" s="11"/>
      <c r="AP78" s="11"/>
      <c r="AQ78" s="12"/>
      <c r="AR78" s="12" t="str">
        <f t="shared" si="5"/>
        <v/>
      </c>
      <c r="AS78" s="11"/>
    </row>
    <row r="79" spans="1:45" x14ac:dyDescent="0.2">
      <c r="A79" s="11"/>
      <c r="B79" s="11"/>
      <c r="C79" s="11"/>
      <c r="D79" s="11"/>
      <c r="E79" s="11"/>
      <c r="F79" s="11"/>
      <c r="G79" s="12"/>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3" t="str">
        <f t="shared" si="3"/>
        <v/>
      </c>
      <c r="AL79" s="11"/>
      <c r="AM79" s="11" t="str">
        <f t="shared" si="4"/>
        <v/>
      </c>
      <c r="AN79" s="11"/>
      <c r="AO79" s="11"/>
      <c r="AP79" s="11"/>
      <c r="AQ79" s="12"/>
      <c r="AR79" s="12" t="str">
        <f t="shared" si="5"/>
        <v/>
      </c>
      <c r="AS79" s="11"/>
    </row>
    <row r="80" spans="1:45" x14ac:dyDescent="0.2">
      <c r="A80" s="11"/>
      <c r="B80" s="11"/>
      <c r="C80" s="11"/>
      <c r="D80" s="11"/>
      <c r="E80" s="11"/>
      <c r="F80" s="11"/>
      <c r="G80" s="12"/>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3" t="str">
        <f t="shared" si="3"/>
        <v/>
      </c>
      <c r="AL80" s="11"/>
      <c r="AM80" s="11" t="str">
        <f t="shared" si="4"/>
        <v/>
      </c>
      <c r="AN80" s="11"/>
      <c r="AO80" s="11"/>
      <c r="AP80" s="11"/>
      <c r="AQ80" s="12"/>
      <c r="AR80" s="12" t="str">
        <f t="shared" si="5"/>
        <v/>
      </c>
      <c r="AS80" s="11"/>
    </row>
    <row r="81" spans="1:45" x14ac:dyDescent="0.2">
      <c r="A81" s="11"/>
      <c r="B81" s="11"/>
      <c r="C81" s="11"/>
      <c r="D81" s="11"/>
      <c r="E81" s="11"/>
      <c r="F81" s="11"/>
      <c r="G81" s="12"/>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3" t="str">
        <f t="shared" si="3"/>
        <v/>
      </c>
      <c r="AL81" s="11"/>
      <c r="AM81" s="11" t="str">
        <f t="shared" si="4"/>
        <v/>
      </c>
      <c r="AN81" s="11"/>
      <c r="AO81" s="11"/>
      <c r="AP81" s="11"/>
      <c r="AQ81" s="12"/>
      <c r="AR81" s="12" t="str">
        <f t="shared" si="5"/>
        <v/>
      </c>
      <c r="AS81" s="11"/>
    </row>
    <row r="82" spans="1:45" x14ac:dyDescent="0.2">
      <c r="A82" s="11"/>
      <c r="B82" s="11"/>
      <c r="C82" s="11"/>
      <c r="D82" s="11"/>
      <c r="E82" s="11"/>
      <c r="F82" s="11"/>
      <c r="G82" s="12"/>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3" t="str">
        <f t="shared" si="3"/>
        <v/>
      </c>
      <c r="AL82" s="11"/>
      <c r="AM82" s="11" t="str">
        <f t="shared" si="4"/>
        <v/>
      </c>
      <c r="AN82" s="11"/>
      <c r="AO82" s="11"/>
      <c r="AP82" s="11"/>
      <c r="AQ82" s="12"/>
      <c r="AR82" s="12" t="str">
        <f t="shared" si="5"/>
        <v/>
      </c>
      <c r="AS82" s="11"/>
    </row>
    <row r="83" spans="1:45" x14ac:dyDescent="0.2">
      <c r="A83" s="11"/>
      <c r="B83" s="11"/>
      <c r="C83" s="11"/>
      <c r="D83" s="11"/>
      <c r="E83" s="11"/>
      <c r="F83" s="11"/>
      <c r="G83" s="12"/>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3" t="str">
        <f t="shared" si="3"/>
        <v/>
      </c>
      <c r="AL83" s="11"/>
      <c r="AM83" s="11" t="str">
        <f t="shared" si="4"/>
        <v/>
      </c>
      <c r="AN83" s="11"/>
      <c r="AO83" s="11"/>
      <c r="AP83" s="11"/>
      <c r="AQ83" s="12"/>
      <c r="AR83" s="12" t="str">
        <f t="shared" si="5"/>
        <v/>
      </c>
      <c r="AS83" s="11"/>
    </row>
    <row r="84" spans="1:45" x14ac:dyDescent="0.2">
      <c r="A84" s="11"/>
      <c r="B84" s="11"/>
      <c r="C84" s="11"/>
      <c r="D84" s="11"/>
      <c r="E84" s="11"/>
      <c r="F84" s="11"/>
      <c r="G84" s="12"/>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3" t="str">
        <f t="shared" si="3"/>
        <v/>
      </c>
      <c r="AL84" s="11"/>
      <c r="AM84" s="11" t="str">
        <f t="shared" si="4"/>
        <v/>
      </c>
      <c r="AN84" s="11"/>
      <c r="AO84" s="11"/>
      <c r="AP84" s="11"/>
      <c r="AQ84" s="12"/>
      <c r="AR84" s="12" t="str">
        <f t="shared" si="5"/>
        <v/>
      </c>
      <c r="AS84" s="11"/>
    </row>
    <row r="85" spans="1:45" x14ac:dyDescent="0.2">
      <c r="A85" s="11"/>
      <c r="B85" s="11"/>
      <c r="C85" s="11"/>
      <c r="D85" s="11"/>
      <c r="E85" s="11"/>
      <c r="F85" s="11"/>
      <c r="G85" s="12"/>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3" t="str">
        <f t="shared" si="3"/>
        <v/>
      </c>
      <c r="AL85" s="11"/>
      <c r="AM85" s="11" t="str">
        <f t="shared" si="4"/>
        <v/>
      </c>
      <c r="AN85" s="11"/>
      <c r="AO85" s="11"/>
      <c r="AP85" s="11"/>
      <c r="AQ85" s="12"/>
      <c r="AR85" s="12" t="str">
        <f t="shared" si="5"/>
        <v/>
      </c>
      <c r="AS85" s="11"/>
    </row>
    <row r="86" spans="1:45" x14ac:dyDescent="0.2">
      <c r="A86" s="11"/>
      <c r="B86" s="11"/>
      <c r="C86" s="11"/>
      <c r="D86" s="11"/>
      <c r="E86" s="11"/>
      <c r="F86" s="11"/>
      <c r="G86" s="12"/>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3" t="str">
        <f t="shared" si="3"/>
        <v/>
      </c>
      <c r="AL86" s="11"/>
      <c r="AM86" s="11" t="str">
        <f t="shared" si="4"/>
        <v/>
      </c>
      <c r="AN86" s="11"/>
      <c r="AO86" s="11"/>
      <c r="AP86" s="11"/>
      <c r="AQ86" s="12"/>
      <c r="AR86" s="12" t="str">
        <f t="shared" si="5"/>
        <v/>
      </c>
      <c r="AS86" s="11"/>
    </row>
    <row r="87" spans="1:45" x14ac:dyDescent="0.2">
      <c r="A87" s="11"/>
      <c r="B87" s="11"/>
      <c r="C87" s="11"/>
      <c r="D87" s="11"/>
      <c r="E87" s="11"/>
      <c r="F87" s="11"/>
      <c r="G87" s="12"/>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3" t="str">
        <f t="shared" si="3"/>
        <v/>
      </c>
      <c r="AL87" s="11"/>
      <c r="AM87" s="11" t="str">
        <f t="shared" si="4"/>
        <v/>
      </c>
      <c r="AN87" s="11"/>
      <c r="AO87" s="11"/>
      <c r="AP87" s="11"/>
      <c r="AQ87" s="12"/>
      <c r="AR87" s="12" t="str">
        <f t="shared" si="5"/>
        <v/>
      </c>
      <c r="AS87" s="11"/>
    </row>
    <row r="88" spans="1:45" x14ac:dyDescent="0.2">
      <c r="A88" s="11"/>
      <c r="B88" s="11"/>
      <c r="C88" s="11"/>
      <c r="D88" s="11"/>
      <c r="E88" s="11"/>
      <c r="F88" s="11"/>
      <c r="G88" s="12"/>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3" t="str">
        <f t="shared" si="3"/>
        <v/>
      </c>
      <c r="AL88" s="11"/>
      <c r="AM88" s="11" t="str">
        <f t="shared" si="4"/>
        <v/>
      </c>
      <c r="AN88" s="11"/>
      <c r="AO88" s="11"/>
      <c r="AP88" s="11"/>
      <c r="AQ88" s="12"/>
      <c r="AR88" s="12" t="str">
        <f t="shared" si="5"/>
        <v/>
      </c>
      <c r="AS88" s="11"/>
    </row>
    <row r="89" spans="1:45" x14ac:dyDescent="0.2">
      <c r="A89" s="11"/>
      <c r="B89" s="11"/>
      <c r="C89" s="11"/>
      <c r="D89" s="11"/>
      <c r="E89" s="11"/>
      <c r="F89" s="11"/>
      <c r="G89" s="12"/>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3" t="str">
        <f t="shared" si="3"/>
        <v/>
      </c>
      <c r="AL89" s="11"/>
      <c r="AM89" s="11" t="str">
        <f t="shared" si="4"/>
        <v/>
      </c>
      <c r="AN89" s="11"/>
      <c r="AO89" s="11"/>
      <c r="AP89" s="11"/>
      <c r="AQ89" s="12"/>
      <c r="AR89" s="12" t="str">
        <f t="shared" si="5"/>
        <v/>
      </c>
      <c r="AS89" s="11"/>
    </row>
    <row r="90" spans="1:45" x14ac:dyDescent="0.2">
      <c r="A90" s="11"/>
      <c r="B90" s="11"/>
      <c r="C90" s="11"/>
      <c r="D90" s="11"/>
      <c r="E90" s="11"/>
      <c r="F90" s="11"/>
      <c r="G90" s="12"/>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3" t="str">
        <f t="shared" si="3"/>
        <v/>
      </c>
      <c r="AL90" s="11"/>
      <c r="AM90" s="11" t="str">
        <f t="shared" si="4"/>
        <v/>
      </c>
      <c r="AN90" s="11"/>
      <c r="AO90" s="11"/>
      <c r="AP90" s="11"/>
      <c r="AQ90" s="12"/>
      <c r="AR90" s="12" t="str">
        <f t="shared" si="5"/>
        <v/>
      </c>
      <c r="AS90" s="11"/>
    </row>
    <row r="91" spans="1:45" x14ac:dyDescent="0.2">
      <c r="A91" s="11"/>
      <c r="B91" s="11"/>
      <c r="C91" s="11"/>
      <c r="D91" s="11"/>
      <c r="E91" s="11"/>
      <c r="F91" s="11"/>
      <c r="G91" s="12"/>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3" t="str">
        <f t="shared" si="3"/>
        <v/>
      </c>
      <c r="AL91" s="11"/>
      <c r="AM91" s="11" t="str">
        <f t="shared" si="4"/>
        <v/>
      </c>
      <c r="AN91" s="11"/>
      <c r="AO91" s="11"/>
      <c r="AP91" s="11"/>
      <c r="AQ91" s="12"/>
      <c r="AR91" s="12" t="str">
        <f t="shared" si="5"/>
        <v/>
      </c>
      <c r="AS91" s="11"/>
    </row>
    <row r="92" spans="1:45" x14ac:dyDescent="0.2">
      <c r="A92" s="11"/>
      <c r="B92" s="11"/>
      <c r="C92" s="11"/>
      <c r="D92" s="11"/>
      <c r="E92" s="11"/>
      <c r="F92" s="11"/>
      <c r="G92" s="12"/>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3" t="str">
        <f t="shared" si="3"/>
        <v/>
      </c>
      <c r="AL92" s="11"/>
      <c r="AM92" s="11" t="str">
        <f t="shared" si="4"/>
        <v/>
      </c>
      <c r="AN92" s="11"/>
      <c r="AO92" s="11"/>
      <c r="AP92" s="11"/>
      <c r="AQ92" s="12"/>
      <c r="AR92" s="12" t="str">
        <f t="shared" si="5"/>
        <v/>
      </c>
      <c r="AS92" s="11"/>
    </row>
    <row r="93" spans="1:45" x14ac:dyDescent="0.2">
      <c r="A93" s="11"/>
      <c r="B93" s="11"/>
      <c r="C93" s="11"/>
      <c r="D93" s="11"/>
      <c r="E93" s="11"/>
      <c r="F93" s="11"/>
      <c r="G93" s="12"/>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3" t="str">
        <f t="shared" si="3"/>
        <v/>
      </c>
      <c r="AL93" s="11"/>
      <c r="AM93" s="11" t="str">
        <f t="shared" si="4"/>
        <v/>
      </c>
      <c r="AN93" s="11"/>
      <c r="AO93" s="11"/>
      <c r="AP93" s="11"/>
      <c r="AQ93" s="12"/>
      <c r="AR93" s="12" t="str">
        <f t="shared" si="5"/>
        <v/>
      </c>
      <c r="AS93" s="11"/>
    </row>
    <row r="94" spans="1:45" x14ac:dyDescent="0.2">
      <c r="A94" s="11"/>
      <c r="B94" s="11"/>
      <c r="C94" s="11"/>
      <c r="D94" s="11"/>
      <c r="E94" s="11"/>
      <c r="F94" s="11"/>
      <c r="G94" s="12"/>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3" t="str">
        <f t="shared" si="3"/>
        <v/>
      </c>
      <c r="AL94" s="11"/>
      <c r="AM94" s="11" t="str">
        <f t="shared" si="4"/>
        <v/>
      </c>
      <c r="AN94" s="11"/>
      <c r="AO94" s="11"/>
      <c r="AP94" s="11"/>
      <c r="AQ94" s="12"/>
      <c r="AR94" s="12" t="str">
        <f t="shared" si="5"/>
        <v/>
      </c>
      <c r="AS94" s="11"/>
    </row>
    <row r="95" spans="1:45" x14ac:dyDescent="0.2">
      <c r="A95" s="11"/>
      <c r="B95" s="11"/>
      <c r="C95" s="11"/>
      <c r="D95" s="11"/>
      <c r="E95" s="11"/>
      <c r="F95" s="11"/>
      <c r="G95" s="12"/>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3" t="str">
        <f t="shared" si="3"/>
        <v/>
      </c>
      <c r="AL95" s="11"/>
      <c r="AM95" s="11" t="str">
        <f t="shared" si="4"/>
        <v/>
      </c>
      <c r="AN95" s="11"/>
      <c r="AO95" s="11"/>
      <c r="AP95" s="11"/>
      <c r="AQ95" s="12"/>
      <c r="AR95" s="12" t="str">
        <f t="shared" si="5"/>
        <v/>
      </c>
      <c r="AS95" s="11"/>
    </row>
    <row r="96" spans="1:45" x14ac:dyDescent="0.2">
      <c r="A96" s="11"/>
      <c r="B96" s="11"/>
      <c r="C96" s="11"/>
      <c r="D96" s="11"/>
      <c r="E96" s="11"/>
      <c r="F96" s="11"/>
      <c r="G96" s="12"/>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3" t="str">
        <f t="shared" si="3"/>
        <v/>
      </c>
      <c r="AL96" s="11"/>
      <c r="AM96" s="11" t="str">
        <f t="shared" si="4"/>
        <v/>
      </c>
      <c r="AN96" s="11"/>
      <c r="AO96" s="11"/>
      <c r="AP96" s="11"/>
      <c r="AQ96" s="12"/>
      <c r="AR96" s="12" t="str">
        <f t="shared" si="5"/>
        <v/>
      </c>
      <c r="AS96" s="11"/>
    </row>
    <row r="97" spans="1:45" x14ac:dyDescent="0.2">
      <c r="A97" s="11"/>
      <c r="B97" s="11"/>
      <c r="C97" s="11"/>
      <c r="D97" s="11"/>
      <c r="E97" s="11"/>
      <c r="F97" s="11"/>
      <c r="G97" s="12"/>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3" t="str">
        <f t="shared" si="3"/>
        <v/>
      </c>
      <c r="AL97" s="11"/>
      <c r="AM97" s="11" t="str">
        <f t="shared" si="4"/>
        <v/>
      </c>
      <c r="AN97" s="11"/>
      <c r="AO97" s="11"/>
      <c r="AP97" s="11"/>
      <c r="AQ97" s="12"/>
      <c r="AR97" s="12" t="str">
        <f t="shared" si="5"/>
        <v/>
      </c>
      <c r="AS97" s="11"/>
    </row>
    <row r="98" spans="1:45" x14ac:dyDescent="0.2">
      <c r="A98" s="11"/>
      <c r="B98" s="11"/>
      <c r="C98" s="11"/>
      <c r="D98" s="11"/>
      <c r="E98" s="11"/>
      <c r="F98" s="11"/>
      <c r="G98" s="12"/>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3" t="str">
        <f t="shared" si="3"/>
        <v/>
      </c>
      <c r="AL98" s="11"/>
      <c r="AM98" s="11" t="str">
        <f t="shared" si="4"/>
        <v/>
      </c>
      <c r="AN98" s="11"/>
      <c r="AO98" s="11"/>
      <c r="AP98" s="11"/>
      <c r="AQ98" s="12"/>
      <c r="AR98" s="12" t="str">
        <f t="shared" si="5"/>
        <v/>
      </c>
      <c r="AS98" s="11"/>
    </row>
    <row r="99" spans="1:45" x14ac:dyDescent="0.2">
      <c r="A99" s="11"/>
      <c r="B99" s="11"/>
      <c r="C99" s="11"/>
      <c r="D99" s="11"/>
      <c r="E99" s="11"/>
      <c r="F99" s="11"/>
      <c r="G99" s="12"/>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3" t="str">
        <f t="shared" si="3"/>
        <v/>
      </c>
      <c r="AL99" s="11"/>
      <c r="AM99" s="11" t="str">
        <f t="shared" si="4"/>
        <v/>
      </c>
      <c r="AN99" s="11"/>
      <c r="AO99" s="11"/>
      <c r="AP99" s="11"/>
      <c r="AQ99" s="12"/>
      <c r="AR99" s="12" t="str">
        <f t="shared" si="5"/>
        <v/>
      </c>
      <c r="AS99" s="11"/>
    </row>
    <row r="100" spans="1:45" x14ac:dyDescent="0.2">
      <c r="A100" s="11"/>
      <c r="B100" s="11"/>
      <c r="C100" s="11"/>
      <c r="D100" s="11"/>
      <c r="E100" s="11"/>
      <c r="F100" s="11"/>
      <c r="G100" s="12"/>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3" t="str">
        <f t="shared" si="3"/>
        <v/>
      </c>
      <c r="AL100" s="11"/>
      <c r="AM100" s="11" t="str">
        <f t="shared" si="4"/>
        <v/>
      </c>
      <c r="AN100" s="11"/>
      <c r="AO100" s="11"/>
      <c r="AP100" s="11"/>
      <c r="AQ100" s="12"/>
      <c r="AR100" s="12" t="str">
        <f t="shared" si="5"/>
        <v/>
      </c>
      <c r="AS100" s="11"/>
    </row>
    <row r="101" spans="1:45" x14ac:dyDescent="0.2">
      <c r="A101" s="11"/>
      <c r="B101" s="11"/>
      <c r="C101" s="11"/>
      <c r="D101" s="11"/>
      <c r="E101" s="11"/>
      <c r="F101" s="11"/>
      <c r="G101" s="12"/>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3" t="str">
        <f t="shared" si="3"/>
        <v/>
      </c>
      <c r="AL101" s="11"/>
      <c r="AM101" s="11" t="str">
        <f t="shared" si="4"/>
        <v/>
      </c>
      <c r="AN101" s="11"/>
      <c r="AO101" s="11"/>
      <c r="AP101" s="11"/>
      <c r="AQ101" s="12"/>
      <c r="AR101" s="12" t="str">
        <f t="shared" si="5"/>
        <v/>
      </c>
      <c r="AS101" s="11"/>
    </row>
    <row r="102" spans="1:45" x14ac:dyDescent="0.2">
      <c r="A102" s="11"/>
      <c r="B102" s="11"/>
      <c r="C102" s="11"/>
      <c r="D102" s="11"/>
      <c r="E102" s="11"/>
      <c r="F102" s="11"/>
      <c r="G102" s="12"/>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3" t="str">
        <f t="shared" si="3"/>
        <v/>
      </c>
      <c r="AL102" s="11"/>
      <c r="AM102" s="11" t="str">
        <f t="shared" si="4"/>
        <v/>
      </c>
      <c r="AN102" s="11"/>
      <c r="AO102" s="11"/>
      <c r="AP102" s="11"/>
      <c r="AQ102" s="12"/>
      <c r="AR102" s="12" t="str">
        <f t="shared" si="5"/>
        <v/>
      </c>
      <c r="AS102" s="11"/>
    </row>
    <row r="103" spans="1:45" x14ac:dyDescent="0.2">
      <c r="A103" s="11"/>
      <c r="B103" s="11"/>
      <c r="C103" s="11"/>
      <c r="D103" s="11"/>
      <c r="E103" s="11"/>
      <c r="F103" s="11"/>
      <c r="G103" s="12"/>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3" t="str">
        <f t="shared" si="3"/>
        <v/>
      </c>
      <c r="AL103" s="11"/>
      <c r="AM103" s="11" t="str">
        <f t="shared" si="4"/>
        <v/>
      </c>
      <c r="AN103" s="11"/>
      <c r="AO103" s="11"/>
      <c r="AP103" s="11"/>
      <c r="AQ103" s="12"/>
      <c r="AR103" s="12" t="str">
        <f t="shared" si="5"/>
        <v/>
      </c>
      <c r="AS103" s="11"/>
    </row>
    <row r="104" spans="1:45" x14ac:dyDescent="0.2">
      <c r="A104" s="11"/>
      <c r="B104" s="11"/>
      <c r="C104" s="11"/>
      <c r="D104" s="11"/>
      <c r="E104" s="11"/>
      <c r="F104" s="11"/>
      <c r="G104" s="12"/>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3" t="str">
        <f t="shared" si="3"/>
        <v/>
      </c>
      <c r="AL104" s="11"/>
      <c r="AM104" s="11" t="str">
        <f t="shared" si="4"/>
        <v/>
      </c>
      <c r="AN104" s="11"/>
      <c r="AO104" s="11"/>
      <c r="AP104" s="11"/>
      <c r="AQ104" s="12"/>
      <c r="AR104" s="12" t="str">
        <f t="shared" si="5"/>
        <v/>
      </c>
      <c r="AS104" s="11"/>
    </row>
    <row r="105" spans="1:45" x14ac:dyDescent="0.2">
      <c r="A105" s="11"/>
      <c r="B105" s="11"/>
      <c r="C105" s="11"/>
      <c r="D105" s="11"/>
      <c r="E105" s="11"/>
      <c r="F105" s="11"/>
      <c r="G105" s="12"/>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3" t="str">
        <f t="shared" si="3"/>
        <v/>
      </c>
      <c r="AL105" s="11"/>
      <c r="AM105" s="11" t="str">
        <f t="shared" si="4"/>
        <v/>
      </c>
      <c r="AN105" s="11"/>
      <c r="AO105" s="11"/>
      <c r="AP105" s="11"/>
      <c r="AQ105" s="12"/>
      <c r="AR105" s="12" t="str">
        <f t="shared" si="5"/>
        <v/>
      </c>
      <c r="AS105" s="11"/>
    </row>
    <row r="106" spans="1:45" x14ac:dyDescent="0.2">
      <c r="A106" s="11"/>
      <c r="B106" s="11"/>
      <c r="C106" s="11"/>
      <c r="D106" s="11"/>
      <c r="E106" s="11"/>
      <c r="F106" s="11"/>
      <c r="G106" s="12"/>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3" t="str">
        <f t="shared" si="3"/>
        <v/>
      </c>
      <c r="AL106" s="11"/>
      <c r="AM106" s="11" t="str">
        <f t="shared" si="4"/>
        <v/>
      </c>
      <c r="AN106" s="11"/>
      <c r="AO106" s="11"/>
      <c r="AP106" s="11"/>
      <c r="AQ106" s="12"/>
      <c r="AR106" s="12" t="str">
        <f t="shared" si="5"/>
        <v/>
      </c>
      <c r="AS106" s="11"/>
    </row>
    <row r="107" spans="1:45" x14ac:dyDescent="0.2">
      <c r="A107" s="11"/>
      <c r="B107" s="11"/>
      <c r="C107" s="11"/>
      <c r="D107" s="11"/>
      <c r="E107" s="11"/>
      <c r="F107" s="11"/>
      <c r="G107" s="12"/>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3" t="str">
        <f t="shared" si="3"/>
        <v/>
      </c>
      <c r="AL107" s="11"/>
      <c r="AM107" s="11" t="str">
        <f t="shared" si="4"/>
        <v/>
      </c>
      <c r="AN107" s="11"/>
      <c r="AO107" s="11"/>
      <c r="AP107" s="11"/>
      <c r="AQ107" s="12"/>
      <c r="AR107" s="12" t="str">
        <f t="shared" si="5"/>
        <v/>
      </c>
      <c r="AS107" s="11"/>
    </row>
    <row r="108" spans="1:45" x14ac:dyDescent="0.2">
      <c r="A108" s="11"/>
      <c r="B108" s="11"/>
      <c r="C108" s="11"/>
      <c r="D108" s="11"/>
      <c r="E108" s="11"/>
      <c r="F108" s="11"/>
      <c r="G108" s="12"/>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3" t="str">
        <f t="shared" si="3"/>
        <v/>
      </c>
      <c r="AL108" s="11"/>
      <c r="AM108" s="11" t="str">
        <f t="shared" si="4"/>
        <v/>
      </c>
      <c r="AN108" s="11"/>
      <c r="AO108" s="11"/>
      <c r="AP108" s="11"/>
      <c r="AQ108" s="12"/>
      <c r="AR108" s="12" t="str">
        <f t="shared" si="5"/>
        <v/>
      </c>
      <c r="AS108" s="11"/>
    </row>
    <row r="109" spans="1:45" x14ac:dyDescent="0.2">
      <c r="A109" s="11"/>
      <c r="B109" s="11"/>
      <c r="C109" s="11"/>
      <c r="D109" s="11"/>
      <c r="E109" s="11"/>
      <c r="F109" s="11"/>
      <c r="G109" s="12"/>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3" t="str">
        <f t="shared" si="3"/>
        <v/>
      </c>
      <c r="AL109" s="11"/>
      <c r="AM109" s="11" t="str">
        <f t="shared" si="4"/>
        <v/>
      </c>
      <c r="AN109" s="11"/>
      <c r="AO109" s="11"/>
      <c r="AP109" s="11"/>
      <c r="AQ109" s="12"/>
      <c r="AR109" s="12" t="str">
        <f t="shared" si="5"/>
        <v/>
      </c>
      <c r="AS109" s="11"/>
    </row>
    <row r="110" spans="1:45" x14ac:dyDescent="0.2">
      <c r="A110" s="11"/>
      <c r="B110" s="11"/>
      <c r="C110" s="11"/>
      <c r="D110" s="11"/>
      <c r="E110" s="11"/>
      <c r="F110" s="11"/>
      <c r="G110" s="12"/>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3" t="str">
        <f t="shared" si="3"/>
        <v/>
      </c>
      <c r="AL110" s="11"/>
      <c r="AM110" s="11" t="str">
        <f t="shared" si="4"/>
        <v/>
      </c>
      <c r="AN110" s="11"/>
      <c r="AO110" s="11"/>
      <c r="AP110" s="11"/>
      <c r="AQ110" s="12"/>
      <c r="AR110" s="12" t="str">
        <f t="shared" si="5"/>
        <v/>
      </c>
      <c r="AS110" s="11"/>
    </row>
    <row r="111" spans="1:45" x14ac:dyDescent="0.2">
      <c r="A111" s="11"/>
      <c r="B111" s="11"/>
      <c r="C111" s="11"/>
      <c r="D111" s="11"/>
      <c r="E111" s="11"/>
      <c r="F111" s="11"/>
      <c r="G111" s="12"/>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3" t="str">
        <f t="shared" si="3"/>
        <v/>
      </c>
      <c r="AL111" s="11"/>
      <c r="AM111" s="11" t="str">
        <f t="shared" si="4"/>
        <v/>
      </c>
      <c r="AN111" s="11"/>
      <c r="AO111" s="11"/>
      <c r="AP111" s="11"/>
      <c r="AQ111" s="12"/>
      <c r="AR111" s="12" t="str">
        <f t="shared" si="5"/>
        <v/>
      </c>
      <c r="AS111" s="11"/>
    </row>
    <row r="112" spans="1:45" x14ac:dyDescent="0.2">
      <c r="A112" s="11"/>
      <c r="B112" s="11"/>
      <c r="C112" s="11"/>
      <c r="D112" s="11"/>
      <c r="E112" s="11"/>
      <c r="F112" s="11"/>
      <c r="G112" s="12"/>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3" t="str">
        <f t="shared" si="3"/>
        <v/>
      </c>
      <c r="AL112" s="11"/>
      <c r="AM112" s="11" t="str">
        <f t="shared" si="4"/>
        <v/>
      </c>
      <c r="AN112" s="11"/>
      <c r="AO112" s="11"/>
      <c r="AP112" s="11"/>
      <c r="AQ112" s="12"/>
      <c r="AR112" s="12" t="str">
        <f t="shared" si="5"/>
        <v/>
      </c>
      <c r="AS112" s="11"/>
    </row>
    <row r="113" spans="1:45" x14ac:dyDescent="0.2">
      <c r="A113" s="11"/>
      <c r="B113" s="11"/>
      <c r="C113" s="11"/>
      <c r="D113" s="11"/>
      <c r="E113" s="11"/>
      <c r="F113" s="11"/>
      <c r="G113" s="12"/>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3" t="str">
        <f t="shared" si="3"/>
        <v/>
      </c>
      <c r="AL113" s="11"/>
      <c r="AM113" s="11" t="str">
        <f t="shared" si="4"/>
        <v/>
      </c>
      <c r="AN113" s="11"/>
      <c r="AO113" s="11"/>
      <c r="AP113" s="11"/>
      <c r="AQ113" s="12"/>
      <c r="AR113" s="12" t="str">
        <f t="shared" si="5"/>
        <v/>
      </c>
      <c r="AS113" s="11"/>
    </row>
    <row r="114" spans="1:45" x14ac:dyDescent="0.2">
      <c r="A114" s="11"/>
      <c r="B114" s="11"/>
      <c r="C114" s="11"/>
      <c r="D114" s="11"/>
      <c r="E114" s="11"/>
      <c r="F114" s="11"/>
      <c r="G114" s="12"/>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3" t="str">
        <f t="shared" si="3"/>
        <v/>
      </c>
      <c r="AL114" s="11"/>
      <c r="AM114" s="11" t="str">
        <f t="shared" si="4"/>
        <v/>
      </c>
      <c r="AN114" s="11"/>
      <c r="AO114" s="11"/>
      <c r="AP114" s="11"/>
      <c r="AQ114" s="12"/>
      <c r="AR114" s="12" t="str">
        <f t="shared" si="5"/>
        <v/>
      </c>
      <c r="AS114" s="11"/>
    </row>
    <row r="115" spans="1:45" x14ac:dyDescent="0.2">
      <c r="A115" s="11"/>
      <c r="B115" s="11"/>
      <c r="C115" s="11"/>
      <c r="D115" s="11"/>
      <c r="E115" s="11"/>
      <c r="F115" s="11"/>
      <c r="G115" s="12"/>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3" t="str">
        <f t="shared" si="3"/>
        <v/>
      </c>
      <c r="AL115" s="11"/>
      <c r="AM115" s="11" t="str">
        <f t="shared" si="4"/>
        <v/>
      </c>
      <c r="AN115" s="11"/>
      <c r="AO115" s="11"/>
      <c r="AP115" s="11"/>
      <c r="AQ115" s="12"/>
      <c r="AR115" s="12" t="str">
        <f t="shared" si="5"/>
        <v/>
      </c>
      <c r="AS115" s="11"/>
    </row>
    <row r="116" spans="1:45" x14ac:dyDescent="0.2">
      <c r="A116" s="11"/>
      <c r="B116" s="11"/>
      <c r="C116" s="11"/>
      <c r="D116" s="11"/>
      <c r="E116" s="11"/>
      <c r="F116" s="11"/>
      <c r="G116" s="12"/>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3" t="str">
        <f t="shared" si="3"/>
        <v/>
      </c>
      <c r="AL116" s="11"/>
      <c r="AM116" s="11" t="str">
        <f t="shared" si="4"/>
        <v/>
      </c>
      <c r="AN116" s="11"/>
      <c r="AO116" s="11"/>
      <c r="AP116" s="11"/>
      <c r="AQ116" s="12"/>
      <c r="AR116" s="12" t="str">
        <f t="shared" si="5"/>
        <v/>
      </c>
      <c r="AS116" s="11"/>
    </row>
    <row r="117" spans="1:45" x14ac:dyDescent="0.2">
      <c r="A117" s="11"/>
      <c r="B117" s="11"/>
      <c r="C117" s="11"/>
      <c r="D117" s="11"/>
      <c r="E117" s="11"/>
      <c r="F117" s="11"/>
      <c r="G117" s="12"/>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3" t="str">
        <f t="shared" si="3"/>
        <v/>
      </c>
      <c r="AL117" s="11"/>
      <c r="AM117" s="11" t="str">
        <f t="shared" si="4"/>
        <v/>
      </c>
      <c r="AN117" s="11"/>
      <c r="AO117" s="11"/>
      <c r="AP117" s="11"/>
      <c r="AQ117" s="12"/>
      <c r="AR117" s="12" t="str">
        <f t="shared" si="5"/>
        <v/>
      </c>
      <c r="AS117" s="11"/>
    </row>
    <row r="118" spans="1:45" x14ac:dyDescent="0.2">
      <c r="A118" s="11"/>
      <c r="B118" s="11"/>
      <c r="C118" s="11"/>
      <c r="D118" s="11"/>
      <c r="E118" s="11"/>
      <c r="F118" s="11"/>
      <c r="G118" s="12"/>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3" t="str">
        <f t="shared" si="3"/>
        <v/>
      </c>
      <c r="AL118" s="11"/>
      <c r="AM118" s="11" t="str">
        <f t="shared" si="4"/>
        <v/>
      </c>
      <c r="AN118" s="11"/>
      <c r="AO118" s="11"/>
      <c r="AP118" s="11"/>
      <c r="AQ118" s="12"/>
      <c r="AR118" s="12" t="str">
        <f t="shared" si="5"/>
        <v/>
      </c>
      <c r="AS118" s="11"/>
    </row>
    <row r="119" spans="1:45" x14ac:dyDescent="0.2">
      <c r="A119" s="11"/>
      <c r="B119" s="11"/>
      <c r="C119" s="11"/>
      <c r="D119" s="11"/>
      <c r="E119" s="11"/>
      <c r="F119" s="11"/>
      <c r="G119" s="12"/>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3" t="str">
        <f t="shared" si="3"/>
        <v/>
      </c>
      <c r="AL119" s="11"/>
      <c r="AM119" s="11" t="str">
        <f t="shared" si="4"/>
        <v/>
      </c>
      <c r="AN119" s="11"/>
      <c r="AO119" s="11"/>
      <c r="AP119" s="11"/>
      <c r="AQ119" s="12"/>
      <c r="AR119" s="12" t="str">
        <f t="shared" si="5"/>
        <v/>
      </c>
      <c r="AS119" s="11"/>
    </row>
    <row r="120" spans="1:45" x14ac:dyDescent="0.2">
      <c r="A120" s="11"/>
      <c r="B120" s="11"/>
      <c r="C120" s="11"/>
      <c r="D120" s="11"/>
      <c r="E120" s="11"/>
      <c r="F120" s="11"/>
      <c r="G120" s="12"/>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3" t="str">
        <f t="shared" si="3"/>
        <v/>
      </c>
      <c r="AL120" s="11"/>
      <c r="AM120" s="11" t="str">
        <f t="shared" si="4"/>
        <v/>
      </c>
      <c r="AN120" s="11"/>
      <c r="AO120" s="11"/>
      <c r="AP120" s="11"/>
      <c r="AQ120" s="12"/>
      <c r="AR120" s="12" t="str">
        <f t="shared" si="5"/>
        <v/>
      </c>
      <c r="AS120" s="11"/>
    </row>
    <row r="121" spans="1:45" x14ac:dyDescent="0.2">
      <c r="A121" s="11"/>
      <c r="B121" s="11"/>
      <c r="C121" s="11"/>
      <c r="D121" s="11"/>
      <c r="E121" s="11"/>
      <c r="F121" s="11"/>
      <c r="G121" s="12"/>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3" t="str">
        <f t="shared" si="3"/>
        <v/>
      </c>
      <c r="AL121" s="11"/>
      <c r="AM121" s="11" t="str">
        <f t="shared" si="4"/>
        <v/>
      </c>
      <c r="AN121" s="11"/>
      <c r="AO121" s="11"/>
      <c r="AP121" s="11"/>
      <c r="AQ121" s="12"/>
      <c r="AR121" s="12" t="str">
        <f t="shared" si="5"/>
        <v/>
      </c>
      <c r="AS121" s="11"/>
    </row>
    <row r="122" spans="1:45" x14ac:dyDescent="0.2">
      <c r="A122" s="11"/>
      <c r="B122" s="11"/>
      <c r="C122" s="11"/>
      <c r="D122" s="11"/>
      <c r="E122" s="11"/>
      <c r="F122" s="11"/>
      <c r="G122" s="12"/>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3" t="str">
        <f t="shared" si="3"/>
        <v/>
      </c>
      <c r="AL122" s="11"/>
      <c r="AM122" s="11" t="str">
        <f t="shared" si="4"/>
        <v/>
      </c>
      <c r="AN122" s="11"/>
      <c r="AO122" s="11"/>
      <c r="AP122" s="11"/>
      <c r="AQ122" s="12"/>
      <c r="AR122" s="12" t="str">
        <f t="shared" si="5"/>
        <v/>
      </c>
      <c r="AS122" s="11"/>
    </row>
    <row r="123" spans="1:45" x14ac:dyDescent="0.2">
      <c r="A123" s="11"/>
      <c r="B123" s="11"/>
      <c r="C123" s="11"/>
      <c r="D123" s="11"/>
      <c r="E123" s="11"/>
      <c r="F123" s="11"/>
      <c r="G123" s="12"/>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3" t="str">
        <f t="shared" si="3"/>
        <v/>
      </c>
      <c r="AL123" s="11"/>
      <c r="AM123" s="11" t="str">
        <f t="shared" si="4"/>
        <v/>
      </c>
      <c r="AN123" s="11"/>
      <c r="AO123" s="11"/>
      <c r="AP123" s="11"/>
      <c r="AQ123" s="12"/>
      <c r="AR123" s="12" t="str">
        <f t="shared" si="5"/>
        <v/>
      </c>
      <c r="AS123" s="11"/>
    </row>
    <row r="124" spans="1:45" x14ac:dyDescent="0.2">
      <c r="A124" s="11"/>
      <c r="B124" s="11"/>
      <c r="C124" s="11"/>
      <c r="D124" s="11"/>
      <c r="E124" s="11"/>
      <c r="F124" s="11"/>
      <c r="G124" s="12"/>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3" t="str">
        <f t="shared" si="3"/>
        <v/>
      </c>
      <c r="AL124" s="11"/>
      <c r="AM124" s="11" t="str">
        <f t="shared" si="4"/>
        <v/>
      </c>
      <c r="AN124" s="11"/>
      <c r="AO124" s="11"/>
      <c r="AP124" s="11"/>
      <c r="AQ124" s="12"/>
      <c r="AR124" s="12" t="str">
        <f t="shared" si="5"/>
        <v/>
      </c>
      <c r="AS124" s="11"/>
    </row>
    <row r="125" spans="1:45" x14ac:dyDescent="0.2">
      <c r="A125" s="11"/>
      <c r="B125" s="11"/>
      <c r="C125" s="11"/>
      <c r="D125" s="11"/>
      <c r="E125" s="11"/>
      <c r="F125" s="11"/>
      <c r="G125" s="12"/>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3" t="str">
        <f t="shared" si="3"/>
        <v/>
      </c>
      <c r="AL125" s="11"/>
      <c r="AM125" s="11" t="str">
        <f t="shared" si="4"/>
        <v/>
      </c>
      <c r="AN125" s="11"/>
      <c r="AO125" s="11"/>
      <c r="AP125" s="11"/>
      <c r="AQ125" s="12"/>
      <c r="AR125" s="12" t="str">
        <f t="shared" si="5"/>
        <v/>
      </c>
      <c r="AS125" s="11"/>
    </row>
    <row r="126" spans="1:45" x14ac:dyDescent="0.2">
      <c r="A126" s="11"/>
      <c r="B126" s="11"/>
      <c r="C126" s="11"/>
      <c r="D126" s="11"/>
      <c r="E126" s="11"/>
      <c r="F126" s="11"/>
      <c r="G126" s="12"/>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3" t="str">
        <f t="shared" si="3"/>
        <v/>
      </c>
      <c r="AL126" s="11"/>
      <c r="AM126" s="11" t="str">
        <f t="shared" si="4"/>
        <v/>
      </c>
      <c r="AN126" s="11"/>
      <c r="AO126" s="11"/>
      <c r="AP126" s="11"/>
      <c r="AQ126" s="12"/>
      <c r="AR126" s="12" t="str">
        <f t="shared" si="5"/>
        <v/>
      </c>
      <c r="AS126" s="11"/>
    </row>
    <row r="127" spans="1:45" x14ac:dyDescent="0.2">
      <c r="A127" s="11"/>
      <c r="B127" s="11"/>
      <c r="C127" s="11"/>
      <c r="D127" s="11"/>
      <c r="E127" s="11"/>
      <c r="F127" s="11"/>
      <c r="G127" s="12"/>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3" t="str">
        <f t="shared" si="3"/>
        <v/>
      </c>
      <c r="AL127" s="11"/>
      <c r="AM127" s="11" t="str">
        <f t="shared" si="4"/>
        <v/>
      </c>
      <c r="AN127" s="11"/>
      <c r="AO127" s="11"/>
      <c r="AP127" s="11"/>
      <c r="AQ127" s="12"/>
      <c r="AR127" s="12" t="str">
        <f t="shared" si="5"/>
        <v/>
      </c>
      <c r="AS127" s="11"/>
    </row>
    <row r="128" spans="1:45" x14ac:dyDescent="0.2">
      <c r="A128" s="11"/>
      <c r="B128" s="11"/>
      <c r="C128" s="11"/>
      <c r="D128" s="11"/>
      <c r="E128" s="11"/>
      <c r="F128" s="11"/>
      <c r="G128" s="12"/>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3" t="str">
        <f t="shared" si="3"/>
        <v/>
      </c>
      <c r="AL128" s="11"/>
      <c r="AM128" s="11" t="str">
        <f t="shared" si="4"/>
        <v/>
      </c>
      <c r="AN128" s="11"/>
      <c r="AO128" s="11"/>
      <c r="AP128" s="11"/>
      <c r="AQ128" s="12"/>
      <c r="AR128" s="12" t="str">
        <f t="shared" si="5"/>
        <v/>
      </c>
      <c r="AS128" s="11"/>
    </row>
    <row r="129" spans="1:45" x14ac:dyDescent="0.2">
      <c r="A129" s="11"/>
      <c r="B129" s="11"/>
      <c r="C129" s="11"/>
      <c r="D129" s="11"/>
      <c r="E129" s="11"/>
      <c r="F129" s="11"/>
      <c r="G129" s="12"/>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3" t="str">
        <f t="shared" si="3"/>
        <v/>
      </c>
      <c r="AL129" s="11"/>
      <c r="AM129" s="11" t="str">
        <f t="shared" si="4"/>
        <v/>
      </c>
      <c r="AN129" s="11"/>
      <c r="AO129" s="11"/>
      <c r="AP129" s="11"/>
      <c r="AQ129" s="12"/>
      <c r="AR129" s="12" t="str">
        <f t="shared" si="5"/>
        <v/>
      </c>
      <c r="AS129" s="11"/>
    </row>
    <row r="130" spans="1:45" x14ac:dyDescent="0.2">
      <c r="A130" s="11"/>
      <c r="B130" s="11"/>
      <c r="C130" s="11"/>
      <c r="D130" s="11"/>
      <c r="E130" s="11"/>
      <c r="F130" s="11"/>
      <c r="G130" s="12"/>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3" t="str">
        <f t="shared" si="3"/>
        <v/>
      </c>
      <c r="AL130" s="11"/>
      <c r="AM130" s="11" t="str">
        <f t="shared" si="4"/>
        <v/>
      </c>
      <c r="AN130" s="11"/>
      <c r="AO130" s="11"/>
      <c r="AP130" s="11"/>
      <c r="AQ130" s="12"/>
      <c r="AR130" s="12" t="str">
        <f t="shared" si="5"/>
        <v/>
      </c>
      <c r="AS130" s="11"/>
    </row>
    <row r="131" spans="1:45" x14ac:dyDescent="0.2">
      <c r="A131" s="11"/>
      <c r="B131" s="11"/>
      <c r="C131" s="11"/>
      <c r="D131" s="11"/>
      <c r="E131" s="11"/>
      <c r="F131" s="11"/>
      <c r="G131" s="12"/>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3" t="str">
        <f t="shared" si="3"/>
        <v/>
      </c>
      <c r="AL131" s="11"/>
      <c r="AM131" s="11" t="str">
        <f t="shared" si="4"/>
        <v/>
      </c>
      <c r="AN131" s="11"/>
      <c r="AO131" s="11"/>
      <c r="AP131" s="11"/>
      <c r="AQ131" s="12"/>
      <c r="AR131" s="12" t="str">
        <f t="shared" si="5"/>
        <v/>
      </c>
      <c r="AS131" s="11"/>
    </row>
    <row r="132" spans="1:45" x14ac:dyDescent="0.2">
      <c r="A132" s="11"/>
      <c r="B132" s="11"/>
      <c r="C132" s="11"/>
      <c r="D132" s="11"/>
      <c r="E132" s="11"/>
      <c r="F132" s="11"/>
      <c r="G132" s="12"/>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3" t="str">
        <f t="shared" si="3"/>
        <v/>
      </c>
      <c r="AL132" s="11"/>
      <c r="AM132" s="11" t="str">
        <f t="shared" si="4"/>
        <v/>
      </c>
      <c r="AN132" s="11"/>
      <c r="AO132" s="11"/>
      <c r="AP132" s="11"/>
      <c r="AQ132" s="12"/>
      <c r="AR132" s="12" t="str">
        <f t="shared" si="5"/>
        <v/>
      </c>
      <c r="AS132" s="11"/>
    </row>
    <row r="133" spans="1:45" x14ac:dyDescent="0.2">
      <c r="A133" s="11"/>
      <c r="B133" s="11"/>
      <c r="C133" s="11"/>
      <c r="D133" s="11"/>
      <c r="E133" s="11"/>
      <c r="F133" s="11"/>
      <c r="G133" s="12"/>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3" t="str">
        <f t="shared" ref="AK133:AK196" si="6">IF(C133="","",(B133="")+(C133="")+(D133="")+(E133="")+(F133="")+(H133="")+(I133="")+(J133="")+(L133="")+(M133="")+(Q133="")+(S133="")+(T133="")+(U133="")+(V133="")+(W133="")+(Y133="")+(Z133="")+(AB133="")+(AD133="")+(AE133="")+(AF133="")+(AI133=""))</f>
        <v/>
      </c>
      <c r="AL133" s="11"/>
      <c r="AM133" s="11" t="str">
        <f t="shared" ref="AM133:AM196" si="7">IF(C133="","",IF(OR(T133="Yes",W133="Yes",Y133="Yes",AE133="Yes",AF133="Fully automated"),"Review for High","-"))</f>
        <v/>
      </c>
      <c r="AN133" s="11"/>
      <c r="AO133" s="11"/>
      <c r="AP133" s="11"/>
      <c r="AQ133" s="12"/>
      <c r="AR133" s="12" t="str">
        <f t="shared" ref="AR133:AR196" si="8">IF(OR(AN133="",AQ133=""),"",IF(AN133="High",EDATE(AQ133,3),IF(AN133="Medium",EDATE(AQ133,12),"On material change")))</f>
        <v/>
      </c>
      <c r="AS133" s="11"/>
    </row>
    <row r="134" spans="1:45" x14ac:dyDescent="0.2">
      <c r="A134" s="11"/>
      <c r="B134" s="11"/>
      <c r="C134" s="11"/>
      <c r="D134" s="11"/>
      <c r="E134" s="11"/>
      <c r="F134" s="11"/>
      <c r="G134" s="12"/>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3" t="str">
        <f t="shared" si="6"/>
        <v/>
      </c>
      <c r="AL134" s="11"/>
      <c r="AM134" s="11" t="str">
        <f t="shared" si="7"/>
        <v/>
      </c>
      <c r="AN134" s="11"/>
      <c r="AO134" s="11"/>
      <c r="AP134" s="11"/>
      <c r="AQ134" s="12"/>
      <c r="AR134" s="12" t="str">
        <f t="shared" si="8"/>
        <v/>
      </c>
      <c r="AS134" s="11"/>
    </row>
    <row r="135" spans="1:45" x14ac:dyDescent="0.2">
      <c r="A135" s="11"/>
      <c r="B135" s="11"/>
      <c r="C135" s="11"/>
      <c r="D135" s="11"/>
      <c r="E135" s="11"/>
      <c r="F135" s="11"/>
      <c r="G135" s="12"/>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3" t="str">
        <f t="shared" si="6"/>
        <v/>
      </c>
      <c r="AL135" s="11"/>
      <c r="AM135" s="11" t="str">
        <f t="shared" si="7"/>
        <v/>
      </c>
      <c r="AN135" s="11"/>
      <c r="AO135" s="11"/>
      <c r="AP135" s="11"/>
      <c r="AQ135" s="12"/>
      <c r="AR135" s="12" t="str">
        <f t="shared" si="8"/>
        <v/>
      </c>
      <c r="AS135" s="11"/>
    </row>
    <row r="136" spans="1:45" x14ac:dyDescent="0.2">
      <c r="A136" s="11"/>
      <c r="B136" s="11"/>
      <c r="C136" s="11"/>
      <c r="D136" s="11"/>
      <c r="E136" s="11"/>
      <c r="F136" s="11"/>
      <c r="G136" s="12"/>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3" t="str">
        <f t="shared" si="6"/>
        <v/>
      </c>
      <c r="AL136" s="11"/>
      <c r="AM136" s="11" t="str">
        <f t="shared" si="7"/>
        <v/>
      </c>
      <c r="AN136" s="11"/>
      <c r="AO136" s="11"/>
      <c r="AP136" s="11"/>
      <c r="AQ136" s="12"/>
      <c r="AR136" s="12" t="str">
        <f t="shared" si="8"/>
        <v/>
      </c>
      <c r="AS136" s="11"/>
    </row>
    <row r="137" spans="1:45" x14ac:dyDescent="0.2">
      <c r="A137" s="11"/>
      <c r="B137" s="11"/>
      <c r="C137" s="11"/>
      <c r="D137" s="11"/>
      <c r="E137" s="11"/>
      <c r="F137" s="11"/>
      <c r="G137" s="12"/>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3" t="str">
        <f t="shared" si="6"/>
        <v/>
      </c>
      <c r="AL137" s="11"/>
      <c r="AM137" s="11" t="str">
        <f t="shared" si="7"/>
        <v/>
      </c>
      <c r="AN137" s="11"/>
      <c r="AO137" s="11"/>
      <c r="AP137" s="11"/>
      <c r="AQ137" s="12"/>
      <c r="AR137" s="12" t="str">
        <f t="shared" si="8"/>
        <v/>
      </c>
      <c r="AS137" s="11"/>
    </row>
    <row r="138" spans="1:45" x14ac:dyDescent="0.2">
      <c r="A138" s="11"/>
      <c r="B138" s="11"/>
      <c r="C138" s="11"/>
      <c r="D138" s="11"/>
      <c r="E138" s="11"/>
      <c r="F138" s="11"/>
      <c r="G138" s="12"/>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3" t="str">
        <f t="shared" si="6"/>
        <v/>
      </c>
      <c r="AL138" s="11"/>
      <c r="AM138" s="11" t="str">
        <f t="shared" si="7"/>
        <v/>
      </c>
      <c r="AN138" s="11"/>
      <c r="AO138" s="11"/>
      <c r="AP138" s="11"/>
      <c r="AQ138" s="12"/>
      <c r="AR138" s="12" t="str">
        <f t="shared" si="8"/>
        <v/>
      </c>
      <c r="AS138" s="11"/>
    </row>
    <row r="139" spans="1:45" x14ac:dyDescent="0.2">
      <c r="A139" s="11"/>
      <c r="B139" s="11"/>
      <c r="C139" s="11"/>
      <c r="D139" s="11"/>
      <c r="E139" s="11"/>
      <c r="F139" s="11"/>
      <c r="G139" s="12"/>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3" t="str">
        <f t="shared" si="6"/>
        <v/>
      </c>
      <c r="AL139" s="11"/>
      <c r="AM139" s="11" t="str">
        <f t="shared" si="7"/>
        <v/>
      </c>
      <c r="AN139" s="11"/>
      <c r="AO139" s="11"/>
      <c r="AP139" s="11"/>
      <c r="AQ139" s="12"/>
      <c r="AR139" s="12" t="str">
        <f t="shared" si="8"/>
        <v/>
      </c>
      <c r="AS139" s="11"/>
    </row>
    <row r="140" spans="1:45" x14ac:dyDescent="0.2">
      <c r="A140" s="11"/>
      <c r="B140" s="11"/>
      <c r="C140" s="11"/>
      <c r="D140" s="11"/>
      <c r="E140" s="11"/>
      <c r="F140" s="11"/>
      <c r="G140" s="12"/>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3" t="str">
        <f t="shared" si="6"/>
        <v/>
      </c>
      <c r="AL140" s="11"/>
      <c r="AM140" s="11" t="str">
        <f t="shared" si="7"/>
        <v/>
      </c>
      <c r="AN140" s="11"/>
      <c r="AO140" s="11"/>
      <c r="AP140" s="11"/>
      <c r="AQ140" s="12"/>
      <c r="AR140" s="12" t="str">
        <f t="shared" si="8"/>
        <v/>
      </c>
      <c r="AS140" s="11"/>
    </row>
    <row r="141" spans="1:45" x14ac:dyDescent="0.2">
      <c r="A141" s="11"/>
      <c r="B141" s="11"/>
      <c r="C141" s="11"/>
      <c r="D141" s="11"/>
      <c r="E141" s="11"/>
      <c r="F141" s="11"/>
      <c r="G141" s="12"/>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3" t="str">
        <f t="shared" si="6"/>
        <v/>
      </c>
      <c r="AL141" s="11"/>
      <c r="AM141" s="11" t="str">
        <f t="shared" si="7"/>
        <v/>
      </c>
      <c r="AN141" s="11"/>
      <c r="AO141" s="11"/>
      <c r="AP141" s="11"/>
      <c r="AQ141" s="12"/>
      <c r="AR141" s="12" t="str">
        <f t="shared" si="8"/>
        <v/>
      </c>
      <c r="AS141" s="11"/>
    </row>
    <row r="142" spans="1:45" x14ac:dyDescent="0.2">
      <c r="A142" s="11"/>
      <c r="B142" s="11"/>
      <c r="C142" s="11"/>
      <c r="D142" s="11"/>
      <c r="E142" s="11"/>
      <c r="F142" s="11"/>
      <c r="G142" s="12"/>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3" t="str">
        <f t="shared" si="6"/>
        <v/>
      </c>
      <c r="AL142" s="11"/>
      <c r="AM142" s="11" t="str">
        <f t="shared" si="7"/>
        <v/>
      </c>
      <c r="AN142" s="11"/>
      <c r="AO142" s="11"/>
      <c r="AP142" s="11"/>
      <c r="AQ142" s="12"/>
      <c r="AR142" s="12" t="str">
        <f t="shared" si="8"/>
        <v/>
      </c>
      <c r="AS142" s="11"/>
    </row>
    <row r="143" spans="1:45" x14ac:dyDescent="0.2">
      <c r="A143" s="11"/>
      <c r="B143" s="11"/>
      <c r="C143" s="11"/>
      <c r="D143" s="11"/>
      <c r="E143" s="11"/>
      <c r="F143" s="11"/>
      <c r="G143" s="12"/>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3" t="str">
        <f t="shared" si="6"/>
        <v/>
      </c>
      <c r="AL143" s="11"/>
      <c r="AM143" s="11" t="str">
        <f t="shared" si="7"/>
        <v/>
      </c>
      <c r="AN143" s="11"/>
      <c r="AO143" s="11"/>
      <c r="AP143" s="11"/>
      <c r="AQ143" s="12"/>
      <c r="AR143" s="12" t="str">
        <f t="shared" si="8"/>
        <v/>
      </c>
      <c r="AS143" s="11"/>
    </row>
    <row r="144" spans="1:45" x14ac:dyDescent="0.2">
      <c r="A144" s="11"/>
      <c r="B144" s="11"/>
      <c r="C144" s="11"/>
      <c r="D144" s="11"/>
      <c r="E144" s="11"/>
      <c r="F144" s="11"/>
      <c r="G144" s="12"/>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3" t="str">
        <f t="shared" si="6"/>
        <v/>
      </c>
      <c r="AL144" s="11"/>
      <c r="AM144" s="11" t="str">
        <f t="shared" si="7"/>
        <v/>
      </c>
      <c r="AN144" s="11"/>
      <c r="AO144" s="11"/>
      <c r="AP144" s="11"/>
      <c r="AQ144" s="12"/>
      <c r="AR144" s="12" t="str">
        <f t="shared" si="8"/>
        <v/>
      </c>
      <c r="AS144" s="11"/>
    </row>
    <row r="145" spans="1:45" x14ac:dyDescent="0.2">
      <c r="A145" s="11"/>
      <c r="B145" s="11"/>
      <c r="C145" s="11"/>
      <c r="D145" s="11"/>
      <c r="E145" s="11"/>
      <c r="F145" s="11"/>
      <c r="G145" s="12"/>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3" t="str">
        <f t="shared" si="6"/>
        <v/>
      </c>
      <c r="AL145" s="11"/>
      <c r="AM145" s="11" t="str">
        <f t="shared" si="7"/>
        <v/>
      </c>
      <c r="AN145" s="11"/>
      <c r="AO145" s="11"/>
      <c r="AP145" s="11"/>
      <c r="AQ145" s="12"/>
      <c r="AR145" s="12" t="str">
        <f t="shared" si="8"/>
        <v/>
      </c>
      <c r="AS145" s="11"/>
    </row>
    <row r="146" spans="1:45" x14ac:dyDescent="0.2">
      <c r="A146" s="11"/>
      <c r="B146" s="11"/>
      <c r="C146" s="11"/>
      <c r="D146" s="11"/>
      <c r="E146" s="11"/>
      <c r="F146" s="11"/>
      <c r="G146" s="12"/>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3" t="str">
        <f t="shared" si="6"/>
        <v/>
      </c>
      <c r="AL146" s="11"/>
      <c r="AM146" s="11" t="str">
        <f t="shared" si="7"/>
        <v/>
      </c>
      <c r="AN146" s="11"/>
      <c r="AO146" s="11"/>
      <c r="AP146" s="11"/>
      <c r="AQ146" s="12"/>
      <c r="AR146" s="12" t="str">
        <f t="shared" si="8"/>
        <v/>
      </c>
      <c r="AS146" s="11"/>
    </row>
    <row r="147" spans="1:45" x14ac:dyDescent="0.2">
      <c r="A147" s="11"/>
      <c r="B147" s="11"/>
      <c r="C147" s="11"/>
      <c r="D147" s="11"/>
      <c r="E147" s="11"/>
      <c r="F147" s="11"/>
      <c r="G147" s="12"/>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3" t="str">
        <f t="shared" si="6"/>
        <v/>
      </c>
      <c r="AL147" s="11"/>
      <c r="AM147" s="11" t="str">
        <f t="shared" si="7"/>
        <v/>
      </c>
      <c r="AN147" s="11"/>
      <c r="AO147" s="11"/>
      <c r="AP147" s="11"/>
      <c r="AQ147" s="12"/>
      <c r="AR147" s="12" t="str">
        <f t="shared" si="8"/>
        <v/>
      </c>
      <c r="AS147" s="11"/>
    </row>
    <row r="148" spans="1:45" x14ac:dyDescent="0.2">
      <c r="A148" s="11"/>
      <c r="B148" s="11"/>
      <c r="C148" s="11"/>
      <c r="D148" s="11"/>
      <c r="E148" s="11"/>
      <c r="F148" s="11"/>
      <c r="G148" s="12"/>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3" t="str">
        <f t="shared" si="6"/>
        <v/>
      </c>
      <c r="AL148" s="11"/>
      <c r="AM148" s="11" t="str">
        <f t="shared" si="7"/>
        <v/>
      </c>
      <c r="AN148" s="11"/>
      <c r="AO148" s="11"/>
      <c r="AP148" s="11"/>
      <c r="AQ148" s="12"/>
      <c r="AR148" s="12" t="str">
        <f t="shared" si="8"/>
        <v/>
      </c>
      <c r="AS148" s="11"/>
    </row>
    <row r="149" spans="1:45" x14ac:dyDescent="0.2">
      <c r="A149" s="11"/>
      <c r="B149" s="11"/>
      <c r="C149" s="11"/>
      <c r="D149" s="11"/>
      <c r="E149" s="11"/>
      <c r="F149" s="11"/>
      <c r="G149" s="12"/>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3" t="str">
        <f t="shared" si="6"/>
        <v/>
      </c>
      <c r="AL149" s="11"/>
      <c r="AM149" s="11" t="str">
        <f t="shared" si="7"/>
        <v/>
      </c>
      <c r="AN149" s="11"/>
      <c r="AO149" s="11"/>
      <c r="AP149" s="11"/>
      <c r="AQ149" s="12"/>
      <c r="AR149" s="12" t="str">
        <f t="shared" si="8"/>
        <v/>
      </c>
      <c r="AS149" s="11"/>
    </row>
    <row r="150" spans="1:45" x14ac:dyDescent="0.2">
      <c r="A150" s="11"/>
      <c r="B150" s="11"/>
      <c r="C150" s="11"/>
      <c r="D150" s="11"/>
      <c r="E150" s="11"/>
      <c r="F150" s="11"/>
      <c r="G150" s="12"/>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3" t="str">
        <f t="shared" si="6"/>
        <v/>
      </c>
      <c r="AL150" s="11"/>
      <c r="AM150" s="11" t="str">
        <f t="shared" si="7"/>
        <v/>
      </c>
      <c r="AN150" s="11"/>
      <c r="AO150" s="11"/>
      <c r="AP150" s="11"/>
      <c r="AQ150" s="12"/>
      <c r="AR150" s="12" t="str">
        <f t="shared" si="8"/>
        <v/>
      </c>
      <c r="AS150" s="11"/>
    </row>
    <row r="151" spans="1:45" x14ac:dyDescent="0.2">
      <c r="A151" s="11"/>
      <c r="B151" s="11"/>
      <c r="C151" s="11"/>
      <c r="D151" s="11"/>
      <c r="E151" s="11"/>
      <c r="F151" s="11"/>
      <c r="G151" s="12"/>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3" t="str">
        <f t="shared" si="6"/>
        <v/>
      </c>
      <c r="AL151" s="11"/>
      <c r="AM151" s="11" t="str">
        <f t="shared" si="7"/>
        <v/>
      </c>
      <c r="AN151" s="11"/>
      <c r="AO151" s="11"/>
      <c r="AP151" s="11"/>
      <c r="AQ151" s="12"/>
      <c r="AR151" s="12" t="str">
        <f t="shared" si="8"/>
        <v/>
      </c>
      <c r="AS151" s="11"/>
    </row>
    <row r="152" spans="1:45" x14ac:dyDescent="0.2">
      <c r="A152" s="11"/>
      <c r="B152" s="11"/>
      <c r="C152" s="11"/>
      <c r="D152" s="11"/>
      <c r="E152" s="11"/>
      <c r="F152" s="11"/>
      <c r="G152" s="12"/>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3" t="str">
        <f t="shared" si="6"/>
        <v/>
      </c>
      <c r="AL152" s="11"/>
      <c r="AM152" s="11" t="str">
        <f t="shared" si="7"/>
        <v/>
      </c>
      <c r="AN152" s="11"/>
      <c r="AO152" s="11"/>
      <c r="AP152" s="11"/>
      <c r="AQ152" s="12"/>
      <c r="AR152" s="12" t="str">
        <f t="shared" si="8"/>
        <v/>
      </c>
      <c r="AS152" s="11"/>
    </row>
    <row r="153" spans="1:45" x14ac:dyDescent="0.2">
      <c r="A153" s="11"/>
      <c r="B153" s="11"/>
      <c r="C153" s="11"/>
      <c r="D153" s="11"/>
      <c r="E153" s="11"/>
      <c r="F153" s="11"/>
      <c r="G153" s="12"/>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3" t="str">
        <f t="shared" si="6"/>
        <v/>
      </c>
      <c r="AL153" s="11"/>
      <c r="AM153" s="11" t="str">
        <f t="shared" si="7"/>
        <v/>
      </c>
      <c r="AN153" s="11"/>
      <c r="AO153" s="11"/>
      <c r="AP153" s="11"/>
      <c r="AQ153" s="12"/>
      <c r="AR153" s="12" t="str">
        <f t="shared" si="8"/>
        <v/>
      </c>
      <c r="AS153" s="11"/>
    </row>
    <row r="154" spans="1:45" x14ac:dyDescent="0.2">
      <c r="A154" s="11"/>
      <c r="B154" s="11"/>
      <c r="C154" s="11"/>
      <c r="D154" s="11"/>
      <c r="E154" s="11"/>
      <c r="F154" s="11"/>
      <c r="G154" s="12"/>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3" t="str">
        <f t="shared" si="6"/>
        <v/>
      </c>
      <c r="AL154" s="11"/>
      <c r="AM154" s="11" t="str">
        <f t="shared" si="7"/>
        <v/>
      </c>
      <c r="AN154" s="11"/>
      <c r="AO154" s="11"/>
      <c r="AP154" s="11"/>
      <c r="AQ154" s="12"/>
      <c r="AR154" s="12" t="str">
        <f t="shared" si="8"/>
        <v/>
      </c>
      <c r="AS154" s="11"/>
    </row>
    <row r="155" spans="1:45" x14ac:dyDescent="0.2">
      <c r="A155" s="11"/>
      <c r="B155" s="11"/>
      <c r="C155" s="11"/>
      <c r="D155" s="11"/>
      <c r="E155" s="11"/>
      <c r="F155" s="11"/>
      <c r="G155" s="12"/>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3" t="str">
        <f t="shared" si="6"/>
        <v/>
      </c>
      <c r="AL155" s="11"/>
      <c r="AM155" s="11" t="str">
        <f t="shared" si="7"/>
        <v/>
      </c>
      <c r="AN155" s="11"/>
      <c r="AO155" s="11"/>
      <c r="AP155" s="11"/>
      <c r="AQ155" s="12"/>
      <c r="AR155" s="12" t="str">
        <f t="shared" si="8"/>
        <v/>
      </c>
      <c r="AS155" s="11"/>
    </row>
    <row r="156" spans="1:45" x14ac:dyDescent="0.2">
      <c r="A156" s="11"/>
      <c r="B156" s="11"/>
      <c r="C156" s="11"/>
      <c r="D156" s="11"/>
      <c r="E156" s="11"/>
      <c r="F156" s="11"/>
      <c r="G156" s="12"/>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3" t="str">
        <f t="shared" si="6"/>
        <v/>
      </c>
      <c r="AL156" s="11"/>
      <c r="AM156" s="11" t="str">
        <f t="shared" si="7"/>
        <v/>
      </c>
      <c r="AN156" s="11"/>
      <c r="AO156" s="11"/>
      <c r="AP156" s="11"/>
      <c r="AQ156" s="12"/>
      <c r="AR156" s="12" t="str">
        <f t="shared" si="8"/>
        <v/>
      </c>
      <c r="AS156" s="11"/>
    </row>
    <row r="157" spans="1:45" x14ac:dyDescent="0.2">
      <c r="A157" s="11"/>
      <c r="B157" s="11"/>
      <c r="C157" s="11"/>
      <c r="D157" s="11"/>
      <c r="E157" s="11"/>
      <c r="F157" s="11"/>
      <c r="G157" s="12"/>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3" t="str">
        <f t="shared" si="6"/>
        <v/>
      </c>
      <c r="AL157" s="11"/>
      <c r="AM157" s="11" t="str">
        <f t="shared" si="7"/>
        <v/>
      </c>
      <c r="AN157" s="11"/>
      <c r="AO157" s="11"/>
      <c r="AP157" s="11"/>
      <c r="AQ157" s="12"/>
      <c r="AR157" s="12" t="str">
        <f t="shared" si="8"/>
        <v/>
      </c>
      <c r="AS157" s="11"/>
    </row>
    <row r="158" spans="1:45" x14ac:dyDescent="0.2">
      <c r="A158" s="11"/>
      <c r="B158" s="11"/>
      <c r="C158" s="11"/>
      <c r="D158" s="11"/>
      <c r="E158" s="11"/>
      <c r="F158" s="11"/>
      <c r="G158" s="12"/>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3" t="str">
        <f t="shared" si="6"/>
        <v/>
      </c>
      <c r="AL158" s="11"/>
      <c r="AM158" s="11" t="str">
        <f t="shared" si="7"/>
        <v/>
      </c>
      <c r="AN158" s="11"/>
      <c r="AO158" s="11"/>
      <c r="AP158" s="11"/>
      <c r="AQ158" s="12"/>
      <c r="AR158" s="12" t="str">
        <f t="shared" si="8"/>
        <v/>
      </c>
      <c r="AS158" s="11"/>
    </row>
    <row r="159" spans="1:45" x14ac:dyDescent="0.2">
      <c r="A159" s="11"/>
      <c r="B159" s="11"/>
      <c r="C159" s="11"/>
      <c r="D159" s="11"/>
      <c r="E159" s="11"/>
      <c r="F159" s="11"/>
      <c r="G159" s="12"/>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3" t="str">
        <f t="shared" si="6"/>
        <v/>
      </c>
      <c r="AL159" s="11"/>
      <c r="AM159" s="11" t="str">
        <f t="shared" si="7"/>
        <v/>
      </c>
      <c r="AN159" s="11"/>
      <c r="AO159" s="11"/>
      <c r="AP159" s="11"/>
      <c r="AQ159" s="12"/>
      <c r="AR159" s="12" t="str">
        <f t="shared" si="8"/>
        <v/>
      </c>
      <c r="AS159" s="11"/>
    </row>
    <row r="160" spans="1:45" x14ac:dyDescent="0.2">
      <c r="A160" s="11"/>
      <c r="B160" s="11"/>
      <c r="C160" s="11"/>
      <c r="D160" s="11"/>
      <c r="E160" s="11"/>
      <c r="F160" s="11"/>
      <c r="G160" s="12"/>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3" t="str">
        <f t="shared" si="6"/>
        <v/>
      </c>
      <c r="AL160" s="11"/>
      <c r="AM160" s="11" t="str">
        <f t="shared" si="7"/>
        <v/>
      </c>
      <c r="AN160" s="11"/>
      <c r="AO160" s="11"/>
      <c r="AP160" s="11"/>
      <c r="AQ160" s="12"/>
      <c r="AR160" s="12" t="str">
        <f t="shared" si="8"/>
        <v/>
      </c>
      <c r="AS160" s="11"/>
    </row>
    <row r="161" spans="1:45" x14ac:dyDescent="0.2">
      <c r="A161" s="11"/>
      <c r="B161" s="11"/>
      <c r="C161" s="11"/>
      <c r="D161" s="11"/>
      <c r="E161" s="11"/>
      <c r="F161" s="11"/>
      <c r="G161" s="12"/>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3" t="str">
        <f t="shared" si="6"/>
        <v/>
      </c>
      <c r="AL161" s="11"/>
      <c r="AM161" s="11" t="str">
        <f t="shared" si="7"/>
        <v/>
      </c>
      <c r="AN161" s="11"/>
      <c r="AO161" s="11"/>
      <c r="AP161" s="11"/>
      <c r="AQ161" s="12"/>
      <c r="AR161" s="12" t="str">
        <f t="shared" si="8"/>
        <v/>
      </c>
      <c r="AS161" s="11"/>
    </row>
    <row r="162" spans="1:45" x14ac:dyDescent="0.2">
      <c r="A162" s="11"/>
      <c r="B162" s="11"/>
      <c r="C162" s="11"/>
      <c r="D162" s="11"/>
      <c r="E162" s="11"/>
      <c r="F162" s="11"/>
      <c r="G162" s="12"/>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3" t="str">
        <f t="shared" si="6"/>
        <v/>
      </c>
      <c r="AL162" s="11"/>
      <c r="AM162" s="11" t="str">
        <f t="shared" si="7"/>
        <v/>
      </c>
      <c r="AN162" s="11"/>
      <c r="AO162" s="11"/>
      <c r="AP162" s="11"/>
      <c r="AQ162" s="12"/>
      <c r="AR162" s="12" t="str">
        <f t="shared" si="8"/>
        <v/>
      </c>
      <c r="AS162" s="11"/>
    </row>
    <row r="163" spans="1:45" x14ac:dyDescent="0.2">
      <c r="A163" s="11"/>
      <c r="B163" s="11"/>
      <c r="C163" s="11"/>
      <c r="D163" s="11"/>
      <c r="E163" s="11"/>
      <c r="F163" s="11"/>
      <c r="G163" s="12"/>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3" t="str">
        <f t="shared" si="6"/>
        <v/>
      </c>
      <c r="AL163" s="11"/>
      <c r="AM163" s="11" t="str">
        <f t="shared" si="7"/>
        <v/>
      </c>
      <c r="AN163" s="11"/>
      <c r="AO163" s="11"/>
      <c r="AP163" s="11"/>
      <c r="AQ163" s="12"/>
      <c r="AR163" s="12" t="str">
        <f t="shared" si="8"/>
        <v/>
      </c>
      <c r="AS163" s="11"/>
    </row>
    <row r="164" spans="1:45" x14ac:dyDescent="0.2">
      <c r="A164" s="11"/>
      <c r="B164" s="11"/>
      <c r="C164" s="11"/>
      <c r="D164" s="11"/>
      <c r="E164" s="11"/>
      <c r="F164" s="11"/>
      <c r="G164" s="12"/>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3" t="str">
        <f t="shared" si="6"/>
        <v/>
      </c>
      <c r="AL164" s="11"/>
      <c r="AM164" s="11" t="str">
        <f t="shared" si="7"/>
        <v/>
      </c>
      <c r="AN164" s="11"/>
      <c r="AO164" s="11"/>
      <c r="AP164" s="11"/>
      <c r="AQ164" s="12"/>
      <c r="AR164" s="12" t="str">
        <f t="shared" si="8"/>
        <v/>
      </c>
      <c r="AS164" s="11"/>
    </row>
    <row r="165" spans="1:45" x14ac:dyDescent="0.2">
      <c r="A165" s="11"/>
      <c r="B165" s="11"/>
      <c r="C165" s="11"/>
      <c r="D165" s="11"/>
      <c r="E165" s="11"/>
      <c r="F165" s="11"/>
      <c r="G165" s="12"/>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3" t="str">
        <f t="shared" si="6"/>
        <v/>
      </c>
      <c r="AL165" s="11"/>
      <c r="AM165" s="11" t="str">
        <f t="shared" si="7"/>
        <v/>
      </c>
      <c r="AN165" s="11"/>
      <c r="AO165" s="11"/>
      <c r="AP165" s="11"/>
      <c r="AQ165" s="12"/>
      <c r="AR165" s="12" t="str">
        <f t="shared" si="8"/>
        <v/>
      </c>
      <c r="AS165" s="11"/>
    </row>
    <row r="166" spans="1:45" x14ac:dyDescent="0.2">
      <c r="A166" s="11"/>
      <c r="B166" s="11"/>
      <c r="C166" s="11"/>
      <c r="D166" s="11"/>
      <c r="E166" s="11"/>
      <c r="F166" s="11"/>
      <c r="G166" s="12"/>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3" t="str">
        <f t="shared" si="6"/>
        <v/>
      </c>
      <c r="AL166" s="11"/>
      <c r="AM166" s="11" t="str">
        <f t="shared" si="7"/>
        <v/>
      </c>
      <c r="AN166" s="11"/>
      <c r="AO166" s="11"/>
      <c r="AP166" s="11"/>
      <c r="AQ166" s="12"/>
      <c r="AR166" s="12" t="str">
        <f t="shared" si="8"/>
        <v/>
      </c>
      <c r="AS166" s="11"/>
    </row>
    <row r="167" spans="1:45" x14ac:dyDescent="0.2">
      <c r="A167" s="11"/>
      <c r="B167" s="11"/>
      <c r="C167" s="11"/>
      <c r="D167" s="11"/>
      <c r="E167" s="11"/>
      <c r="F167" s="11"/>
      <c r="G167" s="12"/>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3" t="str">
        <f t="shared" si="6"/>
        <v/>
      </c>
      <c r="AL167" s="11"/>
      <c r="AM167" s="11" t="str">
        <f t="shared" si="7"/>
        <v/>
      </c>
      <c r="AN167" s="11"/>
      <c r="AO167" s="11"/>
      <c r="AP167" s="11"/>
      <c r="AQ167" s="12"/>
      <c r="AR167" s="12" t="str">
        <f t="shared" si="8"/>
        <v/>
      </c>
      <c r="AS167" s="11"/>
    </row>
    <row r="168" spans="1:45" x14ac:dyDescent="0.2">
      <c r="A168" s="11"/>
      <c r="B168" s="11"/>
      <c r="C168" s="11"/>
      <c r="D168" s="11"/>
      <c r="E168" s="11"/>
      <c r="F168" s="11"/>
      <c r="G168" s="12"/>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3" t="str">
        <f t="shared" si="6"/>
        <v/>
      </c>
      <c r="AL168" s="11"/>
      <c r="AM168" s="11" t="str">
        <f t="shared" si="7"/>
        <v/>
      </c>
      <c r="AN168" s="11"/>
      <c r="AO168" s="11"/>
      <c r="AP168" s="11"/>
      <c r="AQ168" s="12"/>
      <c r="AR168" s="12" t="str">
        <f t="shared" si="8"/>
        <v/>
      </c>
      <c r="AS168" s="11"/>
    </row>
    <row r="169" spans="1:45" x14ac:dyDescent="0.2">
      <c r="A169" s="11"/>
      <c r="B169" s="11"/>
      <c r="C169" s="11"/>
      <c r="D169" s="11"/>
      <c r="E169" s="11"/>
      <c r="F169" s="11"/>
      <c r="G169" s="12"/>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3" t="str">
        <f t="shared" si="6"/>
        <v/>
      </c>
      <c r="AL169" s="11"/>
      <c r="AM169" s="11" t="str">
        <f t="shared" si="7"/>
        <v/>
      </c>
      <c r="AN169" s="11"/>
      <c r="AO169" s="11"/>
      <c r="AP169" s="11"/>
      <c r="AQ169" s="12"/>
      <c r="AR169" s="12" t="str">
        <f t="shared" si="8"/>
        <v/>
      </c>
      <c r="AS169" s="11"/>
    </row>
    <row r="170" spans="1:45" x14ac:dyDescent="0.2">
      <c r="A170" s="11"/>
      <c r="B170" s="11"/>
      <c r="C170" s="11"/>
      <c r="D170" s="11"/>
      <c r="E170" s="11"/>
      <c r="F170" s="11"/>
      <c r="G170" s="12"/>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3" t="str">
        <f t="shared" si="6"/>
        <v/>
      </c>
      <c r="AL170" s="11"/>
      <c r="AM170" s="11" t="str">
        <f t="shared" si="7"/>
        <v/>
      </c>
      <c r="AN170" s="11"/>
      <c r="AO170" s="11"/>
      <c r="AP170" s="11"/>
      <c r="AQ170" s="12"/>
      <c r="AR170" s="12" t="str">
        <f t="shared" si="8"/>
        <v/>
      </c>
      <c r="AS170" s="11"/>
    </row>
    <row r="171" spans="1:45" x14ac:dyDescent="0.2">
      <c r="A171" s="11"/>
      <c r="B171" s="11"/>
      <c r="C171" s="11"/>
      <c r="D171" s="11"/>
      <c r="E171" s="11"/>
      <c r="F171" s="11"/>
      <c r="G171" s="12"/>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3" t="str">
        <f t="shared" si="6"/>
        <v/>
      </c>
      <c r="AL171" s="11"/>
      <c r="AM171" s="11" t="str">
        <f t="shared" si="7"/>
        <v/>
      </c>
      <c r="AN171" s="11"/>
      <c r="AO171" s="11"/>
      <c r="AP171" s="11"/>
      <c r="AQ171" s="12"/>
      <c r="AR171" s="12" t="str">
        <f t="shared" si="8"/>
        <v/>
      </c>
      <c r="AS171" s="11"/>
    </row>
    <row r="172" spans="1:45" x14ac:dyDescent="0.2">
      <c r="A172" s="11"/>
      <c r="B172" s="11"/>
      <c r="C172" s="11"/>
      <c r="D172" s="11"/>
      <c r="E172" s="11"/>
      <c r="F172" s="11"/>
      <c r="G172" s="12"/>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3" t="str">
        <f t="shared" si="6"/>
        <v/>
      </c>
      <c r="AL172" s="11"/>
      <c r="AM172" s="11" t="str">
        <f t="shared" si="7"/>
        <v/>
      </c>
      <c r="AN172" s="11"/>
      <c r="AO172" s="11"/>
      <c r="AP172" s="11"/>
      <c r="AQ172" s="12"/>
      <c r="AR172" s="12" t="str">
        <f t="shared" si="8"/>
        <v/>
      </c>
      <c r="AS172" s="11"/>
    </row>
    <row r="173" spans="1:45" x14ac:dyDescent="0.2">
      <c r="A173" s="11"/>
      <c r="B173" s="11"/>
      <c r="C173" s="11"/>
      <c r="D173" s="11"/>
      <c r="E173" s="11"/>
      <c r="F173" s="11"/>
      <c r="G173" s="12"/>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3" t="str">
        <f t="shared" si="6"/>
        <v/>
      </c>
      <c r="AL173" s="11"/>
      <c r="AM173" s="11" t="str">
        <f t="shared" si="7"/>
        <v/>
      </c>
      <c r="AN173" s="11"/>
      <c r="AO173" s="11"/>
      <c r="AP173" s="11"/>
      <c r="AQ173" s="12"/>
      <c r="AR173" s="12" t="str">
        <f t="shared" si="8"/>
        <v/>
      </c>
      <c r="AS173" s="11"/>
    </row>
    <row r="174" spans="1:45" x14ac:dyDescent="0.2">
      <c r="A174" s="11"/>
      <c r="B174" s="11"/>
      <c r="C174" s="11"/>
      <c r="D174" s="11"/>
      <c r="E174" s="11"/>
      <c r="F174" s="11"/>
      <c r="G174" s="12"/>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3" t="str">
        <f t="shared" si="6"/>
        <v/>
      </c>
      <c r="AL174" s="11"/>
      <c r="AM174" s="11" t="str">
        <f t="shared" si="7"/>
        <v/>
      </c>
      <c r="AN174" s="11"/>
      <c r="AO174" s="11"/>
      <c r="AP174" s="11"/>
      <c r="AQ174" s="12"/>
      <c r="AR174" s="12" t="str">
        <f t="shared" si="8"/>
        <v/>
      </c>
      <c r="AS174" s="11"/>
    </row>
    <row r="175" spans="1:45" x14ac:dyDescent="0.2">
      <c r="A175" s="11"/>
      <c r="B175" s="11"/>
      <c r="C175" s="11"/>
      <c r="D175" s="11"/>
      <c r="E175" s="11"/>
      <c r="F175" s="11"/>
      <c r="G175" s="12"/>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3" t="str">
        <f t="shared" si="6"/>
        <v/>
      </c>
      <c r="AL175" s="11"/>
      <c r="AM175" s="11" t="str">
        <f t="shared" si="7"/>
        <v/>
      </c>
      <c r="AN175" s="11"/>
      <c r="AO175" s="11"/>
      <c r="AP175" s="11"/>
      <c r="AQ175" s="12"/>
      <c r="AR175" s="12" t="str">
        <f t="shared" si="8"/>
        <v/>
      </c>
      <c r="AS175" s="11"/>
    </row>
    <row r="176" spans="1:45" x14ac:dyDescent="0.2">
      <c r="A176" s="11"/>
      <c r="B176" s="11"/>
      <c r="C176" s="11"/>
      <c r="D176" s="11"/>
      <c r="E176" s="11"/>
      <c r="F176" s="11"/>
      <c r="G176" s="12"/>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3" t="str">
        <f t="shared" si="6"/>
        <v/>
      </c>
      <c r="AL176" s="11"/>
      <c r="AM176" s="11" t="str">
        <f t="shared" si="7"/>
        <v/>
      </c>
      <c r="AN176" s="11"/>
      <c r="AO176" s="11"/>
      <c r="AP176" s="11"/>
      <c r="AQ176" s="12"/>
      <c r="AR176" s="12" t="str">
        <f t="shared" si="8"/>
        <v/>
      </c>
      <c r="AS176" s="11"/>
    </row>
    <row r="177" spans="1:45" x14ac:dyDescent="0.2">
      <c r="A177" s="11"/>
      <c r="B177" s="11"/>
      <c r="C177" s="11"/>
      <c r="D177" s="11"/>
      <c r="E177" s="11"/>
      <c r="F177" s="11"/>
      <c r="G177" s="12"/>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3" t="str">
        <f t="shared" si="6"/>
        <v/>
      </c>
      <c r="AL177" s="11"/>
      <c r="AM177" s="11" t="str">
        <f t="shared" si="7"/>
        <v/>
      </c>
      <c r="AN177" s="11"/>
      <c r="AO177" s="11"/>
      <c r="AP177" s="11"/>
      <c r="AQ177" s="12"/>
      <c r="AR177" s="12" t="str">
        <f t="shared" si="8"/>
        <v/>
      </c>
      <c r="AS177" s="11"/>
    </row>
    <row r="178" spans="1:45" x14ac:dyDescent="0.2">
      <c r="A178" s="11"/>
      <c r="B178" s="11"/>
      <c r="C178" s="11"/>
      <c r="D178" s="11"/>
      <c r="E178" s="11"/>
      <c r="F178" s="11"/>
      <c r="G178" s="12"/>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3" t="str">
        <f t="shared" si="6"/>
        <v/>
      </c>
      <c r="AL178" s="11"/>
      <c r="AM178" s="11" t="str">
        <f t="shared" si="7"/>
        <v/>
      </c>
      <c r="AN178" s="11"/>
      <c r="AO178" s="11"/>
      <c r="AP178" s="11"/>
      <c r="AQ178" s="12"/>
      <c r="AR178" s="12" t="str">
        <f t="shared" si="8"/>
        <v/>
      </c>
      <c r="AS178" s="11"/>
    </row>
    <row r="179" spans="1:45" x14ac:dyDescent="0.2">
      <c r="A179" s="11"/>
      <c r="B179" s="11"/>
      <c r="C179" s="11"/>
      <c r="D179" s="11"/>
      <c r="E179" s="11"/>
      <c r="F179" s="11"/>
      <c r="G179" s="12"/>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3" t="str">
        <f t="shared" si="6"/>
        <v/>
      </c>
      <c r="AL179" s="11"/>
      <c r="AM179" s="11" t="str">
        <f t="shared" si="7"/>
        <v/>
      </c>
      <c r="AN179" s="11"/>
      <c r="AO179" s="11"/>
      <c r="AP179" s="11"/>
      <c r="AQ179" s="12"/>
      <c r="AR179" s="12" t="str">
        <f t="shared" si="8"/>
        <v/>
      </c>
      <c r="AS179" s="11"/>
    </row>
    <row r="180" spans="1:45" x14ac:dyDescent="0.2">
      <c r="A180" s="11"/>
      <c r="B180" s="11"/>
      <c r="C180" s="11"/>
      <c r="D180" s="11"/>
      <c r="E180" s="11"/>
      <c r="F180" s="11"/>
      <c r="G180" s="12"/>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3" t="str">
        <f t="shared" si="6"/>
        <v/>
      </c>
      <c r="AL180" s="11"/>
      <c r="AM180" s="11" t="str">
        <f t="shared" si="7"/>
        <v/>
      </c>
      <c r="AN180" s="11"/>
      <c r="AO180" s="11"/>
      <c r="AP180" s="11"/>
      <c r="AQ180" s="12"/>
      <c r="AR180" s="12" t="str">
        <f t="shared" si="8"/>
        <v/>
      </c>
      <c r="AS180" s="11"/>
    </row>
    <row r="181" spans="1:45" x14ac:dyDescent="0.2">
      <c r="A181" s="11"/>
      <c r="B181" s="11"/>
      <c r="C181" s="11"/>
      <c r="D181" s="11"/>
      <c r="E181" s="11"/>
      <c r="F181" s="11"/>
      <c r="G181" s="12"/>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3" t="str">
        <f t="shared" si="6"/>
        <v/>
      </c>
      <c r="AL181" s="11"/>
      <c r="AM181" s="11" t="str">
        <f t="shared" si="7"/>
        <v/>
      </c>
      <c r="AN181" s="11"/>
      <c r="AO181" s="11"/>
      <c r="AP181" s="11"/>
      <c r="AQ181" s="12"/>
      <c r="AR181" s="12" t="str">
        <f t="shared" si="8"/>
        <v/>
      </c>
      <c r="AS181" s="11"/>
    </row>
    <row r="182" spans="1:45" x14ac:dyDescent="0.2">
      <c r="A182" s="11"/>
      <c r="B182" s="11"/>
      <c r="C182" s="11"/>
      <c r="D182" s="11"/>
      <c r="E182" s="11"/>
      <c r="F182" s="11"/>
      <c r="G182" s="12"/>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3" t="str">
        <f t="shared" si="6"/>
        <v/>
      </c>
      <c r="AL182" s="11"/>
      <c r="AM182" s="11" t="str">
        <f t="shared" si="7"/>
        <v/>
      </c>
      <c r="AN182" s="11"/>
      <c r="AO182" s="11"/>
      <c r="AP182" s="11"/>
      <c r="AQ182" s="12"/>
      <c r="AR182" s="12" t="str">
        <f t="shared" si="8"/>
        <v/>
      </c>
      <c r="AS182" s="11"/>
    </row>
    <row r="183" spans="1:45" x14ac:dyDescent="0.2">
      <c r="A183" s="11"/>
      <c r="B183" s="11"/>
      <c r="C183" s="11"/>
      <c r="D183" s="11"/>
      <c r="E183" s="11"/>
      <c r="F183" s="11"/>
      <c r="G183" s="12"/>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3" t="str">
        <f t="shared" si="6"/>
        <v/>
      </c>
      <c r="AL183" s="11"/>
      <c r="AM183" s="11" t="str">
        <f t="shared" si="7"/>
        <v/>
      </c>
      <c r="AN183" s="11"/>
      <c r="AO183" s="11"/>
      <c r="AP183" s="11"/>
      <c r="AQ183" s="12"/>
      <c r="AR183" s="12" t="str">
        <f t="shared" si="8"/>
        <v/>
      </c>
      <c r="AS183" s="11"/>
    </row>
    <row r="184" spans="1:45" x14ac:dyDescent="0.2">
      <c r="A184" s="11"/>
      <c r="B184" s="11"/>
      <c r="C184" s="11"/>
      <c r="D184" s="11"/>
      <c r="E184" s="11"/>
      <c r="F184" s="11"/>
      <c r="G184" s="12"/>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3" t="str">
        <f t="shared" si="6"/>
        <v/>
      </c>
      <c r="AL184" s="11"/>
      <c r="AM184" s="11" t="str">
        <f t="shared" si="7"/>
        <v/>
      </c>
      <c r="AN184" s="11"/>
      <c r="AO184" s="11"/>
      <c r="AP184" s="11"/>
      <c r="AQ184" s="12"/>
      <c r="AR184" s="12" t="str">
        <f t="shared" si="8"/>
        <v/>
      </c>
      <c r="AS184" s="11"/>
    </row>
    <row r="185" spans="1:45" x14ac:dyDescent="0.2">
      <c r="A185" s="11"/>
      <c r="B185" s="11"/>
      <c r="C185" s="11"/>
      <c r="D185" s="11"/>
      <c r="E185" s="11"/>
      <c r="F185" s="11"/>
      <c r="G185" s="12"/>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3" t="str">
        <f t="shared" si="6"/>
        <v/>
      </c>
      <c r="AL185" s="11"/>
      <c r="AM185" s="11" t="str">
        <f t="shared" si="7"/>
        <v/>
      </c>
      <c r="AN185" s="11"/>
      <c r="AO185" s="11"/>
      <c r="AP185" s="11"/>
      <c r="AQ185" s="12"/>
      <c r="AR185" s="12" t="str">
        <f t="shared" si="8"/>
        <v/>
      </c>
      <c r="AS185" s="11"/>
    </row>
    <row r="186" spans="1:45" x14ac:dyDescent="0.2">
      <c r="A186" s="11"/>
      <c r="B186" s="11"/>
      <c r="C186" s="11"/>
      <c r="D186" s="11"/>
      <c r="E186" s="11"/>
      <c r="F186" s="11"/>
      <c r="G186" s="12"/>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3" t="str">
        <f t="shared" si="6"/>
        <v/>
      </c>
      <c r="AL186" s="11"/>
      <c r="AM186" s="11" t="str">
        <f t="shared" si="7"/>
        <v/>
      </c>
      <c r="AN186" s="11"/>
      <c r="AO186" s="11"/>
      <c r="AP186" s="11"/>
      <c r="AQ186" s="12"/>
      <c r="AR186" s="12" t="str">
        <f t="shared" si="8"/>
        <v/>
      </c>
      <c r="AS186" s="11"/>
    </row>
    <row r="187" spans="1:45" x14ac:dyDescent="0.2">
      <c r="A187" s="11"/>
      <c r="B187" s="11"/>
      <c r="C187" s="11"/>
      <c r="D187" s="11"/>
      <c r="E187" s="11"/>
      <c r="F187" s="11"/>
      <c r="G187" s="12"/>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3" t="str">
        <f t="shared" si="6"/>
        <v/>
      </c>
      <c r="AL187" s="11"/>
      <c r="AM187" s="11" t="str">
        <f t="shared" si="7"/>
        <v/>
      </c>
      <c r="AN187" s="11"/>
      <c r="AO187" s="11"/>
      <c r="AP187" s="11"/>
      <c r="AQ187" s="12"/>
      <c r="AR187" s="12" t="str">
        <f t="shared" si="8"/>
        <v/>
      </c>
      <c r="AS187" s="11"/>
    </row>
    <row r="188" spans="1:45" x14ac:dyDescent="0.2">
      <c r="A188" s="11"/>
      <c r="B188" s="11"/>
      <c r="C188" s="11"/>
      <c r="D188" s="11"/>
      <c r="E188" s="11"/>
      <c r="F188" s="11"/>
      <c r="G188" s="12"/>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3" t="str">
        <f t="shared" si="6"/>
        <v/>
      </c>
      <c r="AL188" s="11"/>
      <c r="AM188" s="11" t="str">
        <f t="shared" si="7"/>
        <v/>
      </c>
      <c r="AN188" s="11"/>
      <c r="AO188" s="11"/>
      <c r="AP188" s="11"/>
      <c r="AQ188" s="12"/>
      <c r="AR188" s="12" t="str">
        <f t="shared" si="8"/>
        <v/>
      </c>
      <c r="AS188" s="11"/>
    </row>
    <row r="189" spans="1:45" x14ac:dyDescent="0.2">
      <c r="A189" s="11"/>
      <c r="B189" s="11"/>
      <c r="C189" s="11"/>
      <c r="D189" s="11"/>
      <c r="E189" s="11"/>
      <c r="F189" s="11"/>
      <c r="G189" s="12"/>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3" t="str">
        <f t="shared" si="6"/>
        <v/>
      </c>
      <c r="AL189" s="11"/>
      <c r="AM189" s="11" t="str">
        <f t="shared" si="7"/>
        <v/>
      </c>
      <c r="AN189" s="11"/>
      <c r="AO189" s="11"/>
      <c r="AP189" s="11"/>
      <c r="AQ189" s="12"/>
      <c r="AR189" s="12" t="str">
        <f t="shared" si="8"/>
        <v/>
      </c>
      <c r="AS189" s="11"/>
    </row>
    <row r="190" spans="1:45" x14ac:dyDescent="0.2">
      <c r="A190" s="11"/>
      <c r="B190" s="11"/>
      <c r="C190" s="11"/>
      <c r="D190" s="11"/>
      <c r="E190" s="11"/>
      <c r="F190" s="11"/>
      <c r="G190" s="12"/>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3" t="str">
        <f t="shared" si="6"/>
        <v/>
      </c>
      <c r="AL190" s="11"/>
      <c r="AM190" s="11" t="str">
        <f t="shared" si="7"/>
        <v/>
      </c>
      <c r="AN190" s="11"/>
      <c r="AO190" s="11"/>
      <c r="AP190" s="11"/>
      <c r="AQ190" s="12"/>
      <c r="AR190" s="12" t="str">
        <f t="shared" si="8"/>
        <v/>
      </c>
      <c r="AS190" s="11"/>
    </row>
    <row r="191" spans="1:45" x14ac:dyDescent="0.2">
      <c r="A191" s="11"/>
      <c r="B191" s="11"/>
      <c r="C191" s="11"/>
      <c r="D191" s="11"/>
      <c r="E191" s="11"/>
      <c r="F191" s="11"/>
      <c r="G191" s="12"/>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3" t="str">
        <f t="shared" si="6"/>
        <v/>
      </c>
      <c r="AL191" s="11"/>
      <c r="AM191" s="11" t="str">
        <f t="shared" si="7"/>
        <v/>
      </c>
      <c r="AN191" s="11"/>
      <c r="AO191" s="11"/>
      <c r="AP191" s="11"/>
      <c r="AQ191" s="12"/>
      <c r="AR191" s="12" t="str">
        <f t="shared" si="8"/>
        <v/>
      </c>
      <c r="AS191" s="11"/>
    </row>
    <row r="192" spans="1:45" x14ac:dyDescent="0.2">
      <c r="A192" s="11"/>
      <c r="B192" s="11"/>
      <c r="C192" s="11"/>
      <c r="D192" s="11"/>
      <c r="E192" s="11"/>
      <c r="F192" s="11"/>
      <c r="G192" s="12"/>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3" t="str">
        <f t="shared" si="6"/>
        <v/>
      </c>
      <c r="AL192" s="11"/>
      <c r="AM192" s="11" t="str">
        <f t="shared" si="7"/>
        <v/>
      </c>
      <c r="AN192" s="11"/>
      <c r="AO192" s="11"/>
      <c r="AP192" s="11"/>
      <c r="AQ192" s="12"/>
      <c r="AR192" s="12" t="str">
        <f t="shared" si="8"/>
        <v/>
      </c>
      <c r="AS192" s="11"/>
    </row>
    <row r="193" spans="1:45" x14ac:dyDescent="0.2">
      <c r="A193" s="11"/>
      <c r="B193" s="11"/>
      <c r="C193" s="11"/>
      <c r="D193" s="11"/>
      <c r="E193" s="11"/>
      <c r="F193" s="11"/>
      <c r="G193" s="12"/>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3" t="str">
        <f t="shared" si="6"/>
        <v/>
      </c>
      <c r="AL193" s="11"/>
      <c r="AM193" s="11" t="str">
        <f t="shared" si="7"/>
        <v/>
      </c>
      <c r="AN193" s="11"/>
      <c r="AO193" s="11"/>
      <c r="AP193" s="11"/>
      <c r="AQ193" s="12"/>
      <c r="AR193" s="12" t="str">
        <f t="shared" si="8"/>
        <v/>
      </c>
      <c r="AS193" s="11"/>
    </row>
    <row r="194" spans="1:45" x14ac:dyDescent="0.2">
      <c r="A194" s="11"/>
      <c r="B194" s="11"/>
      <c r="C194" s="11"/>
      <c r="D194" s="11"/>
      <c r="E194" s="11"/>
      <c r="F194" s="11"/>
      <c r="G194" s="12"/>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3" t="str">
        <f t="shared" si="6"/>
        <v/>
      </c>
      <c r="AL194" s="11"/>
      <c r="AM194" s="11" t="str">
        <f t="shared" si="7"/>
        <v/>
      </c>
      <c r="AN194" s="11"/>
      <c r="AO194" s="11"/>
      <c r="AP194" s="11"/>
      <c r="AQ194" s="12"/>
      <c r="AR194" s="12" t="str">
        <f t="shared" si="8"/>
        <v/>
      </c>
      <c r="AS194" s="11"/>
    </row>
    <row r="195" spans="1:45" x14ac:dyDescent="0.2">
      <c r="A195" s="11"/>
      <c r="B195" s="11"/>
      <c r="C195" s="11"/>
      <c r="D195" s="11"/>
      <c r="E195" s="11"/>
      <c r="F195" s="11"/>
      <c r="G195" s="12"/>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3" t="str">
        <f t="shared" si="6"/>
        <v/>
      </c>
      <c r="AL195" s="11"/>
      <c r="AM195" s="11" t="str">
        <f t="shared" si="7"/>
        <v/>
      </c>
      <c r="AN195" s="11"/>
      <c r="AO195" s="11"/>
      <c r="AP195" s="11"/>
      <c r="AQ195" s="12"/>
      <c r="AR195" s="12" t="str">
        <f t="shared" si="8"/>
        <v/>
      </c>
      <c r="AS195" s="11"/>
    </row>
    <row r="196" spans="1:45" x14ac:dyDescent="0.2">
      <c r="A196" s="11"/>
      <c r="B196" s="11"/>
      <c r="C196" s="11"/>
      <c r="D196" s="11"/>
      <c r="E196" s="11"/>
      <c r="F196" s="11"/>
      <c r="G196" s="12"/>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3" t="str">
        <f t="shared" si="6"/>
        <v/>
      </c>
      <c r="AL196" s="11"/>
      <c r="AM196" s="11" t="str">
        <f t="shared" si="7"/>
        <v/>
      </c>
      <c r="AN196" s="11"/>
      <c r="AO196" s="11"/>
      <c r="AP196" s="11"/>
      <c r="AQ196" s="12"/>
      <c r="AR196" s="12" t="str">
        <f t="shared" si="8"/>
        <v/>
      </c>
      <c r="AS196" s="11"/>
    </row>
    <row r="197" spans="1:45" x14ac:dyDescent="0.2">
      <c r="A197" s="11"/>
      <c r="B197" s="11"/>
      <c r="C197" s="11"/>
      <c r="D197" s="11"/>
      <c r="E197" s="11"/>
      <c r="F197" s="11"/>
      <c r="G197" s="12"/>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3" t="str">
        <f t="shared" ref="AK197:AK260" si="9">IF(C197="","",(B197="")+(C197="")+(D197="")+(E197="")+(F197="")+(H197="")+(I197="")+(J197="")+(L197="")+(M197="")+(Q197="")+(S197="")+(T197="")+(U197="")+(V197="")+(W197="")+(Y197="")+(Z197="")+(AB197="")+(AD197="")+(AE197="")+(AF197="")+(AI197=""))</f>
        <v/>
      </c>
      <c r="AL197" s="11"/>
      <c r="AM197" s="11" t="str">
        <f t="shared" ref="AM197:AM260" si="10">IF(C197="","",IF(OR(T197="Yes",W197="Yes",Y197="Yes",AE197="Yes",AF197="Fully automated"),"Review for High","-"))</f>
        <v/>
      </c>
      <c r="AN197" s="11"/>
      <c r="AO197" s="11"/>
      <c r="AP197" s="11"/>
      <c r="AQ197" s="12"/>
      <c r="AR197" s="12" t="str">
        <f t="shared" ref="AR197:AR260" si="11">IF(OR(AN197="",AQ197=""),"",IF(AN197="High",EDATE(AQ197,3),IF(AN197="Medium",EDATE(AQ197,12),"On material change")))</f>
        <v/>
      </c>
      <c r="AS197" s="11"/>
    </row>
    <row r="198" spans="1:45" x14ac:dyDescent="0.2">
      <c r="A198" s="11"/>
      <c r="B198" s="11"/>
      <c r="C198" s="11"/>
      <c r="D198" s="11"/>
      <c r="E198" s="11"/>
      <c r="F198" s="11"/>
      <c r="G198" s="12"/>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3" t="str">
        <f t="shared" si="9"/>
        <v/>
      </c>
      <c r="AL198" s="11"/>
      <c r="AM198" s="11" t="str">
        <f t="shared" si="10"/>
        <v/>
      </c>
      <c r="AN198" s="11"/>
      <c r="AO198" s="11"/>
      <c r="AP198" s="11"/>
      <c r="AQ198" s="12"/>
      <c r="AR198" s="12" t="str">
        <f t="shared" si="11"/>
        <v/>
      </c>
      <c r="AS198" s="11"/>
    </row>
    <row r="199" spans="1:45" x14ac:dyDescent="0.2">
      <c r="A199" s="11"/>
      <c r="B199" s="11"/>
      <c r="C199" s="11"/>
      <c r="D199" s="11"/>
      <c r="E199" s="11"/>
      <c r="F199" s="11"/>
      <c r="G199" s="12"/>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3" t="str">
        <f t="shared" si="9"/>
        <v/>
      </c>
      <c r="AL199" s="11"/>
      <c r="AM199" s="11" t="str">
        <f t="shared" si="10"/>
        <v/>
      </c>
      <c r="AN199" s="11"/>
      <c r="AO199" s="11"/>
      <c r="AP199" s="11"/>
      <c r="AQ199" s="12"/>
      <c r="AR199" s="12" t="str">
        <f t="shared" si="11"/>
        <v/>
      </c>
      <c r="AS199" s="11"/>
    </row>
    <row r="200" spans="1:45" x14ac:dyDescent="0.2">
      <c r="A200" s="11"/>
      <c r="B200" s="11"/>
      <c r="C200" s="11"/>
      <c r="D200" s="11"/>
      <c r="E200" s="11"/>
      <c r="F200" s="11"/>
      <c r="G200" s="12"/>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3" t="str">
        <f t="shared" si="9"/>
        <v/>
      </c>
      <c r="AL200" s="11"/>
      <c r="AM200" s="11" t="str">
        <f t="shared" si="10"/>
        <v/>
      </c>
      <c r="AN200" s="11"/>
      <c r="AO200" s="11"/>
      <c r="AP200" s="11"/>
      <c r="AQ200" s="12"/>
      <c r="AR200" s="12" t="str">
        <f t="shared" si="11"/>
        <v/>
      </c>
      <c r="AS200" s="11"/>
    </row>
    <row r="201" spans="1:45" x14ac:dyDescent="0.2">
      <c r="A201" s="11"/>
      <c r="B201" s="11"/>
      <c r="C201" s="11"/>
      <c r="D201" s="11"/>
      <c r="E201" s="11"/>
      <c r="F201" s="11"/>
      <c r="G201" s="12"/>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3" t="str">
        <f t="shared" si="9"/>
        <v/>
      </c>
      <c r="AL201" s="11"/>
      <c r="AM201" s="11" t="str">
        <f t="shared" si="10"/>
        <v/>
      </c>
      <c r="AN201" s="11"/>
      <c r="AO201" s="11"/>
      <c r="AP201" s="11"/>
      <c r="AQ201" s="12"/>
      <c r="AR201" s="12" t="str">
        <f t="shared" si="11"/>
        <v/>
      </c>
      <c r="AS201" s="11"/>
    </row>
    <row r="202" spans="1:45" x14ac:dyDescent="0.2">
      <c r="A202" s="11"/>
      <c r="B202" s="11"/>
      <c r="C202" s="11"/>
      <c r="D202" s="11"/>
      <c r="E202" s="11"/>
      <c r="F202" s="11"/>
      <c r="G202" s="12"/>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3" t="str">
        <f t="shared" si="9"/>
        <v/>
      </c>
      <c r="AL202" s="11"/>
      <c r="AM202" s="11" t="str">
        <f t="shared" si="10"/>
        <v/>
      </c>
      <c r="AN202" s="11"/>
      <c r="AO202" s="11"/>
      <c r="AP202" s="11"/>
      <c r="AQ202" s="12"/>
      <c r="AR202" s="12" t="str">
        <f t="shared" si="11"/>
        <v/>
      </c>
      <c r="AS202" s="11"/>
    </row>
    <row r="203" spans="1:45" x14ac:dyDescent="0.2">
      <c r="A203" s="11"/>
      <c r="B203" s="11"/>
      <c r="C203" s="11"/>
      <c r="D203" s="11"/>
      <c r="E203" s="11"/>
      <c r="F203" s="11"/>
      <c r="G203" s="12"/>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3" t="str">
        <f t="shared" si="9"/>
        <v/>
      </c>
      <c r="AL203" s="11"/>
      <c r="AM203" s="11" t="str">
        <f t="shared" si="10"/>
        <v/>
      </c>
      <c r="AN203" s="11"/>
      <c r="AO203" s="11"/>
      <c r="AP203" s="11"/>
      <c r="AQ203" s="12"/>
      <c r="AR203" s="12" t="str">
        <f t="shared" si="11"/>
        <v/>
      </c>
      <c r="AS203" s="11"/>
    </row>
    <row r="204" spans="1:45" x14ac:dyDescent="0.2">
      <c r="A204" s="11"/>
      <c r="B204" s="11"/>
      <c r="C204" s="11"/>
      <c r="D204" s="11"/>
      <c r="E204" s="11"/>
      <c r="F204" s="11"/>
      <c r="G204" s="12"/>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3" t="str">
        <f t="shared" si="9"/>
        <v/>
      </c>
      <c r="AL204" s="11"/>
      <c r="AM204" s="11" t="str">
        <f t="shared" si="10"/>
        <v/>
      </c>
      <c r="AN204" s="11"/>
      <c r="AO204" s="11"/>
      <c r="AP204" s="11"/>
      <c r="AQ204" s="12"/>
      <c r="AR204" s="12" t="str">
        <f t="shared" si="11"/>
        <v/>
      </c>
      <c r="AS204" s="11"/>
    </row>
    <row r="205" spans="1:45" x14ac:dyDescent="0.2">
      <c r="A205" s="11"/>
      <c r="B205" s="11"/>
      <c r="C205" s="11"/>
      <c r="D205" s="11"/>
      <c r="E205" s="11"/>
      <c r="F205" s="11"/>
      <c r="G205" s="12"/>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3" t="str">
        <f t="shared" si="9"/>
        <v/>
      </c>
      <c r="AL205" s="11"/>
      <c r="AM205" s="11" t="str">
        <f t="shared" si="10"/>
        <v/>
      </c>
      <c r="AN205" s="11"/>
      <c r="AO205" s="11"/>
      <c r="AP205" s="11"/>
      <c r="AQ205" s="12"/>
      <c r="AR205" s="12" t="str">
        <f t="shared" si="11"/>
        <v/>
      </c>
      <c r="AS205" s="11"/>
    </row>
    <row r="206" spans="1:45" x14ac:dyDescent="0.2">
      <c r="A206" s="11"/>
      <c r="B206" s="11"/>
      <c r="C206" s="11"/>
      <c r="D206" s="11"/>
      <c r="E206" s="11"/>
      <c r="F206" s="11"/>
      <c r="G206" s="12"/>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3" t="str">
        <f t="shared" si="9"/>
        <v/>
      </c>
      <c r="AL206" s="11"/>
      <c r="AM206" s="11" t="str">
        <f t="shared" si="10"/>
        <v/>
      </c>
      <c r="AN206" s="11"/>
      <c r="AO206" s="11"/>
      <c r="AP206" s="11"/>
      <c r="AQ206" s="12"/>
      <c r="AR206" s="12" t="str">
        <f t="shared" si="11"/>
        <v/>
      </c>
      <c r="AS206" s="11"/>
    </row>
    <row r="207" spans="1:45" x14ac:dyDescent="0.2">
      <c r="A207" s="11"/>
      <c r="B207" s="11"/>
      <c r="C207" s="11"/>
      <c r="D207" s="11"/>
      <c r="E207" s="11"/>
      <c r="F207" s="11"/>
      <c r="G207" s="12"/>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3" t="str">
        <f t="shared" si="9"/>
        <v/>
      </c>
      <c r="AL207" s="11"/>
      <c r="AM207" s="11" t="str">
        <f t="shared" si="10"/>
        <v/>
      </c>
      <c r="AN207" s="11"/>
      <c r="AO207" s="11"/>
      <c r="AP207" s="11"/>
      <c r="AQ207" s="12"/>
      <c r="AR207" s="12" t="str">
        <f t="shared" si="11"/>
        <v/>
      </c>
      <c r="AS207" s="11"/>
    </row>
    <row r="208" spans="1:45" x14ac:dyDescent="0.2">
      <c r="A208" s="11"/>
      <c r="B208" s="11"/>
      <c r="C208" s="11"/>
      <c r="D208" s="11"/>
      <c r="E208" s="11"/>
      <c r="F208" s="11"/>
      <c r="G208" s="12"/>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3" t="str">
        <f t="shared" si="9"/>
        <v/>
      </c>
      <c r="AL208" s="11"/>
      <c r="AM208" s="11" t="str">
        <f t="shared" si="10"/>
        <v/>
      </c>
      <c r="AN208" s="11"/>
      <c r="AO208" s="11"/>
      <c r="AP208" s="11"/>
      <c r="AQ208" s="12"/>
      <c r="AR208" s="12" t="str">
        <f t="shared" si="11"/>
        <v/>
      </c>
      <c r="AS208" s="11"/>
    </row>
    <row r="209" spans="1:45" x14ac:dyDescent="0.2">
      <c r="A209" s="11"/>
      <c r="B209" s="11"/>
      <c r="C209" s="11"/>
      <c r="D209" s="11"/>
      <c r="E209" s="11"/>
      <c r="F209" s="11"/>
      <c r="G209" s="12"/>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3" t="str">
        <f t="shared" si="9"/>
        <v/>
      </c>
      <c r="AL209" s="11"/>
      <c r="AM209" s="11" t="str">
        <f t="shared" si="10"/>
        <v/>
      </c>
      <c r="AN209" s="11"/>
      <c r="AO209" s="11"/>
      <c r="AP209" s="11"/>
      <c r="AQ209" s="12"/>
      <c r="AR209" s="12" t="str">
        <f t="shared" si="11"/>
        <v/>
      </c>
      <c r="AS209" s="11"/>
    </row>
    <row r="210" spans="1:45" x14ac:dyDescent="0.2">
      <c r="A210" s="11"/>
      <c r="B210" s="11"/>
      <c r="C210" s="11"/>
      <c r="D210" s="11"/>
      <c r="E210" s="11"/>
      <c r="F210" s="11"/>
      <c r="G210" s="12"/>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3" t="str">
        <f t="shared" si="9"/>
        <v/>
      </c>
      <c r="AL210" s="11"/>
      <c r="AM210" s="11" t="str">
        <f t="shared" si="10"/>
        <v/>
      </c>
      <c r="AN210" s="11"/>
      <c r="AO210" s="11"/>
      <c r="AP210" s="11"/>
      <c r="AQ210" s="12"/>
      <c r="AR210" s="12" t="str">
        <f t="shared" si="11"/>
        <v/>
      </c>
      <c r="AS210" s="11"/>
    </row>
    <row r="211" spans="1:45" x14ac:dyDescent="0.2">
      <c r="A211" s="11"/>
      <c r="B211" s="11"/>
      <c r="C211" s="11"/>
      <c r="D211" s="11"/>
      <c r="E211" s="11"/>
      <c r="F211" s="11"/>
      <c r="G211" s="12"/>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3" t="str">
        <f t="shared" si="9"/>
        <v/>
      </c>
      <c r="AL211" s="11"/>
      <c r="AM211" s="11" t="str">
        <f t="shared" si="10"/>
        <v/>
      </c>
      <c r="AN211" s="11"/>
      <c r="AO211" s="11"/>
      <c r="AP211" s="11"/>
      <c r="AQ211" s="12"/>
      <c r="AR211" s="12" t="str">
        <f t="shared" si="11"/>
        <v/>
      </c>
      <c r="AS211" s="11"/>
    </row>
    <row r="212" spans="1:45" x14ac:dyDescent="0.2">
      <c r="A212" s="11"/>
      <c r="B212" s="11"/>
      <c r="C212" s="11"/>
      <c r="D212" s="11"/>
      <c r="E212" s="11"/>
      <c r="F212" s="11"/>
      <c r="G212" s="12"/>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3" t="str">
        <f t="shared" si="9"/>
        <v/>
      </c>
      <c r="AL212" s="11"/>
      <c r="AM212" s="11" t="str">
        <f t="shared" si="10"/>
        <v/>
      </c>
      <c r="AN212" s="11"/>
      <c r="AO212" s="11"/>
      <c r="AP212" s="11"/>
      <c r="AQ212" s="12"/>
      <c r="AR212" s="12" t="str">
        <f t="shared" si="11"/>
        <v/>
      </c>
      <c r="AS212" s="11"/>
    </row>
    <row r="213" spans="1:45" x14ac:dyDescent="0.2">
      <c r="A213" s="11"/>
      <c r="B213" s="11"/>
      <c r="C213" s="11"/>
      <c r="D213" s="11"/>
      <c r="E213" s="11"/>
      <c r="F213" s="11"/>
      <c r="G213" s="12"/>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3" t="str">
        <f t="shared" si="9"/>
        <v/>
      </c>
      <c r="AL213" s="11"/>
      <c r="AM213" s="11" t="str">
        <f t="shared" si="10"/>
        <v/>
      </c>
      <c r="AN213" s="11"/>
      <c r="AO213" s="11"/>
      <c r="AP213" s="11"/>
      <c r="AQ213" s="12"/>
      <c r="AR213" s="12" t="str">
        <f t="shared" si="11"/>
        <v/>
      </c>
      <c r="AS213" s="11"/>
    </row>
    <row r="214" spans="1:45" x14ac:dyDescent="0.2">
      <c r="A214" s="11"/>
      <c r="B214" s="11"/>
      <c r="C214" s="11"/>
      <c r="D214" s="11"/>
      <c r="E214" s="11"/>
      <c r="F214" s="11"/>
      <c r="G214" s="12"/>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3" t="str">
        <f t="shared" si="9"/>
        <v/>
      </c>
      <c r="AL214" s="11"/>
      <c r="AM214" s="11" t="str">
        <f t="shared" si="10"/>
        <v/>
      </c>
      <c r="AN214" s="11"/>
      <c r="AO214" s="11"/>
      <c r="AP214" s="11"/>
      <c r="AQ214" s="12"/>
      <c r="AR214" s="12" t="str">
        <f t="shared" si="11"/>
        <v/>
      </c>
      <c r="AS214" s="11"/>
    </row>
    <row r="215" spans="1:45" x14ac:dyDescent="0.2">
      <c r="A215" s="11"/>
      <c r="B215" s="11"/>
      <c r="C215" s="11"/>
      <c r="D215" s="11"/>
      <c r="E215" s="11"/>
      <c r="F215" s="11"/>
      <c r="G215" s="12"/>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3" t="str">
        <f t="shared" si="9"/>
        <v/>
      </c>
      <c r="AL215" s="11"/>
      <c r="AM215" s="11" t="str">
        <f t="shared" si="10"/>
        <v/>
      </c>
      <c r="AN215" s="11"/>
      <c r="AO215" s="11"/>
      <c r="AP215" s="11"/>
      <c r="AQ215" s="12"/>
      <c r="AR215" s="12" t="str">
        <f t="shared" si="11"/>
        <v/>
      </c>
      <c r="AS215" s="11"/>
    </row>
    <row r="216" spans="1:45" x14ac:dyDescent="0.2">
      <c r="A216" s="11"/>
      <c r="B216" s="11"/>
      <c r="C216" s="11"/>
      <c r="D216" s="11"/>
      <c r="E216" s="11"/>
      <c r="F216" s="11"/>
      <c r="G216" s="12"/>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3" t="str">
        <f t="shared" si="9"/>
        <v/>
      </c>
      <c r="AL216" s="11"/>
      <c r="AM216" s="11" t="str">
        <f t="shared" si="10"/>
        <v/>
      </c>
      <c r="AN216" s="11"/>
      <c r="AO216" s="11"/>
      <c r="AP216" s="11"/>
      <c r="AQ216" s="12"/>
      <c r="AR216" s="12" t="str">
        <f t="shared" si="11"/>
        <v/>
      </c>
      <c r="AS216" s="11"/>
    </row>
    <row r="217" spans="1:45" x14ac:dyDescent="0.2">
      <c r="A217" s="11"/>
      <c r="B217" s="11"/>
      <c r="C217" s="11"/>
      <c r="D217" s="11"/>
      <c r="E217" s="11"/>
      <c r="F217" s="11"/>
      <c r="G217" s="12"/>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3" t="str">
        <f t="shared" si="9"/>
        <v/>
      </c>
      <c r="AL217" s="11"/>
      <c r="AM217" s="11" t="str">
        <f t="shared" si="10"/>
        <v/>
      </c>
      <c r="AN217" s="11"/>
      <c r="AO217" s="11"/>
      <c r="AP217" s="11"/>
      <c r="AQ217" s="12"/>
      <c r="AR217" s="12" t="str">
        <f t="shared" si="11"/>
        <v/>
      </c>
      <c r="AS217" s="11"/>
    </row>
    <row r="218" spans="1:45" x14ac:dyDescent="0.2">
      <c r="A218" s="11"/>
      <c r="B218" s="11"/>
      <c r="C218" s="11"/>
      <c r="D218" s="11"/>
      <c r="E218" s="11"/>
      <c r="F218" s="11"/>
      <c r="G218" s="12"/>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3" t="str">
        <f t="shared" si="9"/>
        <v/>
      </c>
      <c r="AL218" s="11"/>
      <c r="AM218" s="11" t="str">
        <f t="shared" si="10"/>
        <v/>
      </c>
      <c r="AN218" s="11"/>
      <c r="AO218" s="11"/>
      <c r="AP218" s="11"/>
      <c r="AQ218" s="12"/>
      <c r="AR218" s="12" t="str">
        <f t="shared" si="11"/>
        <v/>
      </c>
      <c r="AS218" s="11"/>
    </row>
    <row r="219" spans="1:45" x14ac:dyDescent="0.2">
      <c r="A219" s="11"/>
      <c r="B219" s="11"/>
      <c r="C219" s="11"/>
      <c r="D219" s="11"/>
      <c r="E219" s="11"/>
      <c r="F219" s="11"/>
      <c r="G219" s="12"/>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3" t="str">
        <f t="shared" si="9"/>
        <v/>
      </c>
      <c r="AL219" s="11"/>
      <c r="AM219" s="11" t="str">
        <f t="shared" si="10"/>
        <v/>
      </c>
      <c r="AN219" s="11"/>
      <c r="AO219" s="11"/>
      <c r="AP219" s="11"/>
      <c r="AQ219" s="12"/>
      <c r="AR219" s="12" t="str">
        <f t="shared" si="11"/>
        <v/>
      </c>
      <c r="AS219" s="11"/>
    </row>
    <row r="220" spans="1:45" x14ac:dyDescent="0.2">
      <c r="A220" s="11"/>
      <c r="B220" s="11"/>
      <c r="C220" s="11"/>
      <c r="D220" s="11"/>
      <c r="E220" s="11"/>
      <c r="F220" s="11"/>
      <c r="G220" s="12"/>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3" t="str">
        <f t="shared" si="9"/>
        <v/>
      </c>
      <c r="AL220" s="11"/>
      <c r="AM220" s="11" t="str">
        <f t="shared" si="10"/>
        <v/>
      </c>
      <c r="AN220" s="11"/>
      <c r="AO220" s="11"/>
      <c r="AP220" s="11"/>
      <c r="AQ220" s="12"/>
      <c r="AR220" s="12" t="str">
        <f t="shared" si="11"/>
        <v/>
      </c>
      <c r="AS220" s="11"/>
    </row>
    <row r="221" spans="1:45" x14ac:dyDescent="0.2">
      <c r="A221" s="11"/>
      <c r="B221" s="11"/>
      <c r="C221" s="11"/>
      <c r="D221" s="11"/>
      <c r="E221" s="11"/>
      <c r="F221" s="11"/>
      <c r="G221" s="12"/>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3" t="str">
        <f t="shared" si="9"/>
        <v/>
      </c>
      <c r="AL221" s="11"/>
      <c r="AM221" s="11" t="str">
        <f t="shared" si="10"/>
        <v/>
      </c>
      <c r="AN221" s="11"/>
      <c r="AO221" s="11"/>
      <c r="AP221" s="11"/>
      <c r="AQ221" s="12"/>
      <c r="AR221" s="12" t="str">
        <f t="shared" si="11"/>
        <v/>
      </c>
      <c r="AS221" s="11"/>
    </row>
    <row r="222" spans="1:45" x14ac:dyDescent="0.2">
      <c r="A222" s="11"/>
      <c r="B222" s="11"/>
      <c r="C222" s="11"/>
      <c r="D222" s="11"/>
      <c r="E222" s="11"/>
      <c r="F222" s="11"/>
      <c r="G222" s="12"/>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3" t="str">
        <f t="shared" si="9"/>
        <v/>
      </c>
      <c r="AL222" s="11"/>
      <c r="AM222" s="11" t="str">
        <f t="shared" si="10"/>
        <v/>
      </c>
      <c r="AN222" s="11"/>
      <c r="AO222" s="11"/>
      <c r="AP222" s="11"/>
      <c r="AQ222" s="12"/>
      <c r="AR222" s="12" t="str">
        <f t="shared" si="11"/>
        <v/>
      </c>
      <c r="AS222" s="11"/>
    </row>
    <row r="223" spans="1:45" x14ac:dyDescent="0.2">
      <c r="A223" s="11"/>
      <c r="B223" s="11"/>
      <c r="C223" s="11"/>
      <c r="D223" s="11"/>
      <c r="E223" s="11"/>
      <c r="F223" s="11"/>
      <c r="G223" s="12"/>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3" t="str">
        <f t="shared" si="9"/>
        <v/>
      </c>
      <c r="AL223" s="11"/>
      <c r="AM223" s="11" t="str">
        <f t="shared" si="10"/>
        <v/>
      </c>
      <c r="AN223" s="11"/>
      <c r="AO223" s="11"/>
      <c r="AP223" s="11"/>
      <c r="AQ223" s="12"/>
      <c r="AR223" s="12" t="str">
        <f t="shared" si="11"/>
        <v/>
      </c>
      <c r="AS223" s="11"/>
    </row>
    <row r="224" spans="1:45" x14ac:dyDescent="0.2">
      <c r="A224" s="11"/>
      <c r="B224" s="11"/>
      <c r="C224" s="11"/>
      <c r="D224" s="11"/>
      <c r="E224" s="11"/>
      <c r="F224" s="11"/>
      <c r="G224" s="12"/>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3" t="str">
        <f t="shared" si="9"/>
        <v/>
      </c>
      <c r="AL224" s="11"/>
      <c r="AM224" s="11" t="str">
        <f t="shared" si="10"/>
        <v/>
      </c>
      <c r="AN224" s="11"/>
      <c r="AO224" s="11"/>
      <c r="AP224" s="11"/>
      <c r="AQ224" s="12"/>
      <c r="AR224" s="12" t="str">
        <f t="shared" si="11"/>
        <v/>
      </c>
      <c r="AS224" s="11"/>
    </row>
    <row r="225" spans="1:45" x14ac:dyDescent="0.2">
      <c r="A225" s="11"/>
      <c r="B225" s="11"/>
      <c r="C225" s="11"/>
      <c r="D225" s="11"/>
      <c r="E225" s="11"/>
      <c r="F225" s="11"/>
      <c r="G225" s="12"/>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3" t="str">
        <f t="shared" si="9"/>
        <v/>
      </c>
      <c r="AL225" s="11"/>
      <c r="AM225" s="11" t="str">
        <f t="shared" si="10"/>
        <v/>
      </c>
      <c r="AN225" s="11"/>
      <c r="AO225" s="11"/>
      <c r="AP225" s="11"/>
      <c r="AQ225" s="12"/>
      <c r="AR225" s="12" t="str">
        <f t="shared" si="11"/>
        <v/>
      </c>
      <c r="AS225" s="11"/>
    </row>
    <row r="226" spans="1:45" x14ac:dyDescent="0.2">
      <c r="A226" s="11"/>
      <c r="B226" s="11"/>
      <c r="C226" s="11"/>
      <c r="D226" s="11"/>
      <c r="E226" s="11"/>
      <c r="F226" s="11"/>
      <c r="G226" s="12"/>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3" t="str">
        <f t="shared" si="9"/>
        <v/>
      </c>
      <c r="AL226" s="11"/>
      <c r="AM226" s="11" t="str">
        <f t="shared" si="10"/>
        <v/>
      </c>
      <c r="AN226" s="11"/>
      <c r="AO226" s="11"/>
      <c r="AP226" s="11"/>
      <c r="AQ226" s="12"/>
      <c r="AR226" s="12" t="str">
        <f t="shared" si="11"/>
        <v/>
      </c>
      <c r="AS226" s="11"/>
    </row>
    <row r="227" spans="1:45" x14ac:dyDescent="0.2">
      <c r="A227" s="11"/>
      <c r="B227" s="11"/>
      <c r="C227" s="11"/>
      <c r="D227" s="11"/>
      <c r="E227" s="11"/>
      <c r="F227" s="11"/>
      <c r="G227" s="12"/>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3" t="str">
        <f t="shared" si="9"/>
        <v/>
      </c>
      <c r="AL227" s="11"/>
      <c r="AM227" s="11" t="str">
        <f t="shared" si="10"/>
        <v/>
      </c>
      <c r="AN227" s="11"/>
      <c r="AO227" s="11"/>
      <c r="AP227" s="11"/>
      <c r="AQ227" s="12"/>
      <c r="AR227" s="12" t="str">
        <f t="shared" si="11"/>
        <v/>
      </c>
      <c r="AS227" s="11"/>
    </row>
    <row r="228" spans="1:45" x14ac:dyDescent="0.2">
      <c r="A228" s="11"/>
      <c r="B228" s="11"/>
      <c r="C228" s="11"/>
      <c r="D228" s="11"/>
      <c r="E228" s="11"/>
      <c r="F228" s="11"/>
      <c r="G228" s="12"/>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3" t="str">
        <f t="shared" si="9"/>
        <v/>
      </c>
      <c r="AL228" s="11"/>
      <c r="AM228" s="11" t="str">
        <f t="shared" si="10"/>
        <v/>
      </c>
      <c r="AN228" s="11"/>
      <c r="AO228" s="11"/>
      <c r="AP228" s="11"/>
      <c r="AQ228" s="12"/>
      <c r="AR228" s="12" t="str">
        <f t="shared" si="11"/>
        <v/>
      </c>
      <c r="AS228" s="11"/>
    </row>
    <row r="229" spans="1:45" x14ac:dyDescent="0.2">
      <c r="A229" s="11"/>
      <c r="B229" s="11"/>
      <c r="C229" s="11"/>
      <c r="D229" s="11"/>
      <c r="E229" s="11"/>
      <c r="F229" s="11"/>
      <c r="G229" s="12"/>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3" t="str">
        <f t="shared" si="9"/>
        <v/>
      </c>
      <c r="AL229" s="11"/>
      <c r="AM229" s="11" t="str">
        <f t="shared" si="10"/>
        <v/>
      </c>
      <c r="AN229" s="11"/>
      <c r="AO229" s="11"/>
      <c r="AP229" s="11"/>
      <c r="AQ229" s="12"/>
      <c r="AR229" s="12" t="str">
        <f t="shared" si="11"/>
        <v/>
      </c>
      <c r="AS229" s="11"/>
    </row>
    <row r="230" spans="1:45" x14ac:dyDescent="0.2">
      <c r="A230" s="11"/>
      <c r="B230" s="11"/>
      <c r="C230" s="11"/>
      <c r="D230" s="11"/>
      <c r="E230" s="11"/>
      <c r="F230" s="11"/>
      <c r="G230" s="12"/>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3" t="str">
        <f t="shared" si="9"/>
        <v/>
      </c>
      <c r="AL230" s="11"/>
      <c r="AM230" s="11" t="str">
        <f t="shared" si="10"/>
        <v/>
      </c>
      <c r="AN230" s="11"/>
      <c r="AO230" s="11"/>
      <c r="AP230" s="11"/>
      <c r="AQ230" s="12"/>
      <c r="AR230" s="12" t="str">
        <f t="shared" si="11"/>
        <v/>
      </c>
      <c r="AS230" s="11"/>
    </row>
    <row r="231" spans="1:45" x14ac:dyDescent="0.2">
      <c r="A231" s="11"/>
      <c r="B231" s="11"/>
      <c r="C231" s="11"/>
      <c r="D231" s="11"/>
      <c r="E231" s="11"/>
      <c r="F231" s="11"/>
      <c r="G231" s="12"/>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3" t="str">
        <f t="shared" si="9"/>
        <v/>
      </c>
      <c r="AL231" s="11"/>
      <c r="AM231" s="11" t="str">
        <f t="shared" si="10"/>
        <v/>
      </c>
      <c r="AN231" s="11"/>
      <c r="AO231" s="11"/>
      <c r="AP231" s="11"/>
      <c r="AQ231" s="12"/>
      <c r="AR231" s="12" t="str">
        <f t="shared" si="11"/>
        <v/>
      </c>
      <c r="AS231" s="11"/>
    </row>
    <row r="232" spans="1:45" x14ac:dyDescent="0.2">
      <c r="A232" s="11"/>
      <c r="B232" s="11"/>
      <c r="C232" s="11"/>
      <c r="D232" s="11"/>
      <c r="E232" s="11"/>
      <c r="F232" s="11"/>
      <c r="G232" s="12"/>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3" t="str">
        <f t="shared" si="9"/>
        <v/>
      </c>
      <c r="AL232" s="11"/>
      <c r="AM232" s="11" t="str">
        <f t="shared" si="10"/>
        <v/>
      </c>
      <c r="AN232" s="11"/>
      <c r="AO232" s="11"/>
      <c r="AP232" s="11"/>
      <c r="AQ232" s="12"/>
      <c r="AR232" s="12" t="str">
        <f t="shared" si="11"/>
        <v/>
      </c>
      <c r="AS232" s="11"/>
    </row>
    <row r="233" spans="1:45" x14ac:dyDescent="0.2">
      <c r="A233" s="11"/>
      <c r="B233" s="11"/>
      <c r="C233" s="11"/>
      <c r="D233" s="11"/>
      <c r="E233" s="11"/>
      <c r="F233" s="11"/>
      <c r="G233" s="12"/>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3" t="str">
        <f t="shared" si="9"/>
        <v/>
      </c>
      <c r="AL233" s="11"/>
      <c r="AM233" s="11" t="str">
        <f t="shared" si="10"/>
        <v/>
      </c>
      <c r="AN233" s="11"/>
      <c r="AO233" s="11"/>
      <c r="AP233" s="11"/>
      <c r="AQ233" s="12"/>
      <c r="AR233" s="12" t="str">
        <f t="shared" si="11"/>
        <v/>
      </c>
      <c r="AS233" s="11"/>
    </row>
    <row r="234" spans="1:45" x14ac:dyDescent="0.2">
      <c r="A234" s="11"/>
      <c r="B234" s="11"/>
      <c r="C234" s="11"/>
      <c r="D234" s="11"/>
      <c r="E234" s="11"/>
      <c r="F234" s="11"/>
      <c r="G234" s="12"/>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3" t="str">
        <f t="shared" si="9"/>
        <v/>
      </c>
      <c r="AL234" s="11"/>
      <c r="AM234" s="11" t="str">
        <f t="shared" si="10"/>
        <v/>
      </c>
      <c r="AN234" s="11"/>
      <c r="AO234" s="11"/>
      <c r="AP234" s="11"/>
      <c r="AQ234" s="12"/>
      <c r="AR234" s="12" t="str">
        <f t="shared" si="11"/>
        <v/>
      </c>
      <c r="AS234" s="11"/>
    </row>
    <row r="235" spans="1:45" x14ac:dyDescent="0.2">
      <c r="A235" s="11"/>
      <c r="B235" s="11"/>
      <c r="C235" s="11"/>
      <c r="D235" s="11"/>
      <c r="E235" s="11"/>
      <c r="F235" s="11"/>
      <c r="G235" s="12"/>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3" t="str">
        <f t="shared" si="9"/>
        <v/>
      </c>
      <c r="AL235" s="11"/>
      <c r="AM235" s="11" t="str">
        <f t="shared" si="10"/>
        <v/>
      </c>
      <c r="AN235" s="11"/>
      <c r="AO235" s="11"/>
      <c r="AP235" s="11"/>
      <c r="AQ235" s="12"/>
      <c r="AR235" s="12" t="str">
        <f t="shared" si="11"/>
        <v/>
      </c>
      <c r="AS235" s="11"/>
    </row>
    <row r="236" spans="1:45" x14ac:dyDescent="0.2">
      <c r="A236" s="11"/>
      <c r="B236" s="11"/>
      <c r="C236" s="11"/>
      <c r="D236" s="11"/>
      <c r="E236" s="11"/>
      <c r="F236" s="11"/>
      <c r="G236" s="12"/>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3" t="str">
        <f t="shared" si="9"/>
        <v/>
      </c>
      <c r="AL236" s="11"/>
      <c r="AM236" s="11" t="str">
        <f t="shared" si="10"/>
        <v/>
      </c>
      <c r="AN236" s="11"/>
      <c r="AO236" s="11"/>
      <c r="AP236" s="11"/>
      <c r="AQ236" s="12"/>
      <c r="AR236" s="12" t="str">
        <f t="shared" si="11"/>
        <v/>
      </c>
      <c r="AS236" s="11"/>
    </row>
    <row r="237" spans="1:45" x14ac:dyDescent="0.2">
      <c r="A237" s="11"/>
      <c r="B237" s="11"/>
      <c r="C237" s="11"/>
      <c r="D237" s="11"/>
      <c r="E237" s="11"/>
      <c r="F237" s="11"/>
      <c r="G237" s="12"/>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3" t="str">
        <f t="shared" si="9"/>
        <v/>
      </c>
      <c r="AL237" s="11"/>
      <c r="AM237" s="11" t="str">
        <f t="shared" si="10"/>
        <v/>
      </c>
      <c r="AN237" s="11"/>
      <c r="AO237" s="11"/>
      <c r="AP237" s="11"/>
      <c r="AQ237" s="12"/>
      <c r="AR237" s="12" t="str">
        <f t="shared" si="11"/>
        <v/>
      </c>
      <c r="AS237" s="11"/>
    </row>
    <row r="238" spans="1:45" x14ac:dyDescent="0.2">
      <c r="A238" s="11"/>
      <c r="B238" s="11"/>
      <c r="C238" s="11"/>
      <c r="D238" s="11"/>
      <c r="E238" s="11"/>
      <c r="F238" s="11"/>
      <c r="G238" s="12"/>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3" t="str">
        <f t="shared" si="9"/>
        <v/>
      </c>
      <c r="AL238" s="11"/>
      <c r="AM238" s="11" t="str">
        <f t="shared" si="10"/>
        <v/>
      </c>
      <c r="AN238" s="11"/>
      <c r="AO238" s="11"/>
      <c r="AP238" s="11"/>
      <c r="AQ238" s="12"/>
      <c r="AR238" s="12" t="str">
        <f t="shared" si="11"/>
        <v/>
      </c>
      <c r="AS238" s="11"/>
    </row>
    <row r="239" spans="1:45" x14ac:dyDescent="0.2">
      <c r="A239" s="11"/>
      <c r="B239" s="11"/>
      <c r="C239" s="11"/>
      <c r="D239" s="11"/>
      <c r="E239" s="11"/>
      <c r="F239" s="11"/>
      <c r="G239" s="12"/>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3" t="str">
        <f t="shared" si="9"/>
        <v/>
      </c>
      <c r="AL239" s="11"/>
      <c r="AM239" s="11" t="str">
        <f t="shared" si="10"/>
        <v/>
      </c>
      <c r="AN239" s="11"/>
      <c r="AO239" s="11"/>
      <c r="AP239" s="11"/>
      <c r="AQ239" s="12"/>
      <c r="AR239" s="12" t="str">
        <f t="shared" si="11"/>
        <v/>
      </c>
      <c r="AS239" s="11"/>
    </row>
    <row r="240" spans="1:45" x14ac:dyDescent="0.2">
      <c r="A240" s="11"/>
      <c r="B240" s="11"/>
      <c r="C240" s="11"/>
      <c r="D240" s="11"/>
      <c r="E240" s="11"/>
      <c r="F240" s="11"/>
      <c r="G240" s="12"/>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3" t="str">
        <f t="shared" si="9"/>
        <v/>
      </c>
      <c r="AL240" s="11"/>
      <c r="AM240" s="11" t="str">
        <f t="shared" si="10"/>
        <v/>
      </c>
      <c r="AN240" s="11"/>
      <c r="AO240" s="11"/>
      <c r="AP240" s="11"/>
      <c r="AQ240" s="12"/>
      <c r="AR240" s="12" t="str">
        <f t="shared" si="11"/>
        <v/>
      </c>
      <c r="AS240" s="11"/>
    </row>
    <row r="241" spans="1:45" x14ac:dyDescent="0.2">
      <c r="A241" s="11"/>
      <c r="B241" s="11"/>
      <c r="C241" s="11"/>
      <c r="D241" s="11"/>
      <c r="E241" s="11"/>
      <c r="F241" s="11"/>
      <c r="G241" s="12"/>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3" t="str">
        <f t="shared" si="9"/>
        <v/>
      </c>
      <c r="AL241" s="11"/>
      <c r="AM241" s="11" t="str">
        <f t="shared" si="10"/>
        <v/>
      </c>
      <c r="AN241" s="11"/>
      <c r="AO241" s="11"/>
      <c r="AP241" s="11"/>
      <c r="AQ241" s="12"/>
      <c r="AR241" s="12" t="str">
        <f t="shared" si="11"/>
        <v/>
      </c>
      <c r="AS241" s="11"/>
    </row>
    <row r="242" spans="1:45" x14ac:dyDescent="0.2">
      <c r="A242" s="11"/>
      <c r="B242" s="11"/>
      <c r="C242" s="11"/>
      <c r="D242" s="11"/>
      <c r="E242" s="11"/>
      <c r="F242" s="11"/>
      <c r="G242" s="12"/>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3" t="str">
        <f t="shared" si="9"/>
        <v/>
      </c>
      <c r="AL242" s="11"/>
      <c r="AM242" s="11" t="str">
        <f t="shared" si="10"/>
        <v/>
      </c>
      <c r="AN242" s="11"/>
      <c r="AO242" s="11"/>
      <c r="AP242" s="11"/>
      <c r="AQ242" s="12"/>
      <c r="AR242" s="12" t="str">
        <f t="shared" si="11"/>
        <v/>
      </c>
      <c r="AS242" s="11"/>
    </row>
    <row r="243" spans="1:45" x14ac:dyDescent="0.2">
      <c r="A243" s="11"/>
      <c r="B243" s="11"/>
      <c r="C243" s="11"/>
      <c r="D243" s="11"/>
      <c r="E243" s="11"/>
      <c r="F243" s="11"/>
      <c r="G243" s="12"/>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3" t="str">
        <f t="shared" si="9"/>
        <v/>
      </c>
      <c r="AL243" s="11"/>
      <c r="AM243" s="11" t="str">
        <f t="shared" si="10"/>
        <v/>
      </c>
      <c r="AN243" s="11"/>
      <c r="AO243" s="11"/>
      <c r="AP243" s="11"/>
      <c r="AQ243" s="12"/>
      <c r="AR243" s="12" t="str">
        <f t="shared" si="11"/>
        <v/>
      </c>
      <c r="AS243" s="11"/>
    </row>
    <row r="244" spans="1:45" x14ac:dyDescent="0.2">
      <c r="A244" s="11"/>
      <c r="B244" s="11"/>
      <c r="C244" s="11"/>
      <c r="D244" s="11"/>
      <c r="E244" s="11"/>
      <c r="F244" s="11"/>
      <c r="G244" s="12"/>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3" t="str">
        <f t="shared" si="9"/>
        <v/>
      </c>
      <c r="AL244" s="11"/>
      <c r="AM244" s="11" t="str">
        <f t="shared" si="10"/>
        <v/>
      </c>
      <c r="AN244" s="11"/>
      <c r="AO244" s="11"/>
      <c r="AP244" s="11"/>
      <c r="AQ244" s="12"/>
      <c r="AR244" s="12" t="str">
        <f t="shared" si="11"/>
        <v/>
      </c>
      <c r="AS244" s="11"/>
    </row>
    <row r="245" spans="1:45" x14ac:dyDescent="0.2">
      <c r="A245" s="11"/>
      <c r="B245" s="11"/>
      <c r="C245" s="11"/>
      <c r="D245" s="11"/>
      <c r="E245" s="11"/>
      <c r="F245" s="11"/>
      <c r="G245" s="12"/>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3" t="str">
        <f t="shared" si="9"/>
        <v/>
      </c>
      <c r="AL245" s="11"/>
      <c r="AM245" s="11" t="str">
        <f t="shared" si="10"/>
        <v/>
      </c>
      <c r="AN245" s="11"/>
      <c r="AO245" s="11"/>
      <c r="AP245" s="11"/>
      <c r="AQ245" s="12"/>
      <c r="AR245" s="12" t="str">
        <f t="shared" si="11"/>
        <v/>
      </c>
      <c r="AS245" s="11"/>
    </row>
    <row r="246" spans="1:45" x14ac:dyDescent="0.2">
      <c r="A246" s="11"/>
      <c r="B246" s="11"/>
      <c r="C246" s="11"/>
      <c r="D246" s="11"/>
      <c r="E246" s="11"/>
      <c r="F246" s="11"/>
      <c r="G246" s="12"/>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3" t="str">
        <f t="shared" si="9"/>
        <v/>
      </c>
      <c r="AL246" s="11"/>
      <c r="AM246" s="11" t="str">
        <f t="shared" si="10"/>
        <v/>
      </c>
      <c r="AN246" s="11"/>
      <c r="AO246" s="11"/>
      <c r="AP246" s="11"/>
      <c r="AQ246" s="12"/>
      <c r="AR246" s="12" t="str">
        <f t="shared" si="11"/>
        <v/>
      </c>
      <c r="AS246" s="11"/>
    </row>
    <row r="247" spans="1:45" x14ac:dyDescent="0.2">
      <c r="A247" s="11"/>
      <c r="B247" s="11"/>
      <c r="C247" s="11"/>
      <c r="D247" s="11"/>
      <c r="E247" s="11"/>
      <c r="F247" s="11"/>
      <c r="G247" s="12"/>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3" t="str">
        <f t="shared" si="9"/>
        <v/>
      </c>
      <c r="AL247" s="11"/>
      <c r="AM247" s="11" t="str">
        <f t="shared" si="10"/>
        <v/>
      </c>
      <c r="AN247" s="11"/>
      <c r="AO247" s="11"/>
      <c r="AP247" s="11"/>
      <c r="AQ247" s="12"/>
      <c r="AR247" s="12" t="str">
        <f t="shared" si="11"/>
        <v/>
      </c>
      <c r="AS247" s="11"/>
    </row>
    <row r="248" spans="1:45" x14ac:dyDescent="0.2">
      <c r="A248" s="11"/>
      <c r="B248" s="11"/>
      <c r="C248" s="11"/>
      <c r="D248" s="11"/>
      <c r="E248" s="11"/>
      <c r="F248" s="11"/>
      <c r="G248" s="12"/>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3" t="str">
        <f t="shared" si="9"/>
        <v/>
      </c>
      <c r="AL248" s="11"/>
      <c r="AM248" s="11" t="str">
        <f t="shared" si="10"/>
        <v/>
      </c>
      <c r="AN248" s="11"/>
      <c r="AO248" s="11"/>
      <c r="AP248" s="11"/>
      <c r="AQ248" s="12"/>
      <c r="AR248" s="12" t="str">
        <f t="shared" si="11"/>
        <v/>
      </c>
      <c r="AS248" s="11"/>
    </row>
    <row r="249" spans="1:45" x14ac:dyDescent="0.2">
      <c r="A249" s="11"/>
      <c r="B249" s="11"/>
      <c r="C249" s="11"/>
      <c r="D249" s="11"/>
      <c r="E249" s="11"/>
      <c r="F249" s="11"/>
      <c r="G249" s="12"/>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3" t="str">
        <f t="shared" si="9"/>
        <v/>
      </c>
      <c r="AL249" s="11"/>
      <c r="AM249" s="11" t="str">
        <f t="shared" si="10"/>
        <v/>
      </c>
      <c r="AN249" s="11"/>
      <c r="AO249" s="11"/>
      <c r="AP249" s="11"/>
      <c r="AQ249" s="12"/>
      <c r="AR249" s="12" t="str">
        <f t="shared" si="11"/>
        <v/>
      </c>
      <c r="AS249" s="11"/>
    </row>
    <row r="250" spans="1:45" x14ac:dyDescent="0.2">
      <c r="A250" s="11"/>
      <c r="B250" s="11"/>
      <c r="C250" s="11"/>
      <c r="D250" s="11"/>
      <c r="E250" s="11"/>
      <c r="F250" s="11"/>
      <c r="G250" s="12"/>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3" t="str">
        <f t="shared" si="9"/>
        <v/>
      </c>
      <c r="AL250" s="11"/>
      <c r="AM250" s="11" t="str">
        <f t="shared" si="10"/>
        <v/>
      </c>
      <c r="AN250" s="11"/>
      <c r="AO250" s="11"/>
      <c r="AP250" s="11"/>
      <c r="AQ250" s="12"/>
      <c r="AR250" s="12" t="str">
        <f t="shared" si="11"/>
        <v/>
      </c>
      <c r="AS250" s="11"/>
    </row>
    <row r="251" spans="1:45" x14ac:dyDescent="0.2">
      <c r="A251" s="11"/>
      <c r="B251" s="11"/>
      <c r="C251" s="11"/>
      <c r="D251" s="11"/>
      <c r="E251" s="11"/>
      <c r="F251" s="11"/>
      <c r="G251" s="12"/>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3" t="str">
        <f t="shared" si="9"/>
        <v/>
      </c>
      <c r="AL251" s="11"/>
      <c r="AM251" s="11" t="str">
        <f t="shared" si="10"/>
        <v/>
      </c>
      <c r="AN251" s="11"/>
      <c r="AO251" s="11"/>
      <c r="AP251" s="11"/>
      <c r="AQ251" s="12"/>
      <c r="AR251" s="12" t="str">
        <f t="shared" si="11"/>
        <v/>
      </c>
      <c r="AS251" s="11"/>
    </row>
    <row r="252" spans="1:45" x14ac:dyDescent="0.2">
      <c r="A252" s="11"/>
      <c r="B252" s="11"/>
      <c r="C252" s="11"/>
      <c r="D252" s="11"/>
      <c r="E252" s="11"/>
      <c r="F252" s="11"/>
      <c r="G252" s="12"/>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3" t="str">
        <f t="shared" si="9"/>
        <v/>
      </c>
      <c r="AL252" s="11"/>
      <c r="AM252" s="11" t="str">
        <f t="shared" si="10"/>
        <v/>
      </c>
      <c r="AN252" s="11"/>
      <c r="AO252" s="11"/>
      <c r="AP252" s="11"/>
      <c r="AQ252" s="12"/>
      <c r="AR252" s="12" t="str">
        <f t="shared" si="11"/>
        <v/>
      </c>
      <c r="AS252" s="11"/>
    </row>
    <row r="253" spans="1:45" x14ac:dyDescent="0.2">
      <c r="A253" s="11"/>
      <c r="B253" s="11"/>
      <c r="C253" s="11"/>
      <c r="D253" s="11"/>
      <c r="E253" s="11"/>
      <c r="F253" s="11"/>
      <c r="G253" s="12"/>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3" t="str">
        <f t="shared" si="9"/>
        <v/>
      </c>
      <c r="AL253" s="11"/>
      <c r="AM253" s="11" t="str">
        <f t="shared" si="10"/>
        <v/>
      </c>
      <c r="AN253" s="11"/>
      <c r="AO253" s="11"/>
      <c r="AP253" s="11"/>
      <c r="AQ253" s="12"/>
      <c r="AR253" s="12" t="str">
        <f t="shared" si="11"/>
        <v/>
      </c>
      <c r="AS253" s="11"/>
    </row>
    <row r="254" spans="1:45" x14ac:dyDescent="0.2">
      <c r="A254" s="11"/>
      <c r="B254" s="11"/>
      <c r="C254" s="11"/>
      <c r="D254" s="11"/>
      <c r="E254" s="11"/>
      <c r="F254" s="11"/>
      <c r="G254" s="12"/>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3" t="str">
        <f t="shared" si="9"/>
        <v/>
      </c>
      <c r="AL254" s="11"/>
      <c r="AM254" s="11" t="str">
        <f t="shared" si="10"/>
        <v/>
      </c>
      <c r="AN254" s="11"/>
      <c r="AO254" s="11"/>
      <c r="AP254" s="11"/>
      <c r="AQ254" s="12"/>
      <c r="AR254" s="12" t="str">
        <f t="shared" si="11"/>
        <v/>
      </c>
      <c r="AS254" s="11"/>
    </row>
    <row r="255" spans="1:45" x14ac:dyDescent="0.2">
      <c r="A255" s="11"/>
      <c r="B255" s="11"/>
      <c r="C255" s="11"/>
      <c r="D255" s="11"/>
      <c r="E255" s="11"/>
      <c r="F255" s="11"/>
      <c r="G255" s="12"/>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3" t="str">
        <f t="shared" si="9"/>
        <v/>
      </c>
      <c r="AL255" s="11"/>
      <c r="AM255" s="11" t="str">
        <f t="shared" si="10"/>
        <v/>
      </c>
      <c r="AN255" s="11"/>
      <c r="AO255" s="11"/>
      <c r="AP255" s="11"/>
      <c r="AQ255" s="12"/>
      <c r="AR255" s="12" t="str">
        <f t="shared" si="11"/>
        <v/>
      </c>
      <c r="AS255" s="11"/>
    </row>
    <row r="256" spans="1:45" x14ac:dyDescent="0.2">
      <c r="A256" s="11"/>
      <c r="B256" s="11"/>
      <c r="C256" s="11"/>
      <c r="D256" s="11"/>
      <c r="E256" s="11"/>
      <c r="F256" s="11"/>
      <c r="G256" s="12"/>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3" t="str">
        <f t="shared" si="9"/>
        <v/>
      </c>
      <c r="AL256" s="11"/>
      <c r="AM256" s="11" t="str">
        <f t="shared" si="10"/>
        <v/>
      </c>
      <c r="AN256" s="11"/>
      <c r="AO256" s="11"/>
      <c r="AP256" s="11"/>
      <c r="AQ256" s="12"/>
      <c r="AR256" s="12" t="str">
        <f t="shared" si="11"/>
        <v/>
      </c>
      <c r="AS256" s="11"/>
    </row>
    <row r="257" spans="1:45" x14ac:dyDescent="0.2">
      <c r="A257" s="11"/>
      <c r="B257" s="11"/>
      <c r="C257" s="11"/>
      <c r="D257" s="11"/>
      <c r="E257" s="11"/>
      <c r="F257" s="11"/>
      <c r="G257" s="12"/>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3" t="str">
        <f t="shared" si="9"/>
        <v/>
      </c>
      <c r="AL257" s="11"/>
      <c r="AM257" s="11" t="str">
        <f t="shared" si="10"/>
        <v/>
      </c>
      <c r="AN257" s="11"/>
      <c r="AO257" s="11"/>
      <c r="AP257" s="11"/>
      <c r="AQ257" s="12"/>
      <c r="AR257" s="12" t="str">
        <f t="shared" si="11"/>
        <v/>
      </c>
      <c r="AS257" s="11"/>
    </row>
    <row r="258" spans="1:45" x14ac:dyDescent="0.2">
      <c r="A258" s="11"/>
      <c r="B258" s="11"/>
      <c r="C258" s="11"/>
      <c r="D258" s="11"/>
      <c r="E258" s="11"/>
      <c r="F258" s="11"/>
      <c r="G258" s="12"/>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3" t="str">
        <f t="shared" si="9"/>
        <v/>
      </c>
      <c r="AL258" s="11"/>
      <c r="AM258" s="11" t="str">
        <f t="shared" si="10"/>
        <v/>
      </c>
      <c r="AN258" s="11"/>
      <c r="AO258" s="11"/>
      <c r="AP258" s="11"/>
      <c r="AQ258" s="12"/>
      <c r="AR258" s="12" t="str">
        <f t="shared" si="11"/>
        <v/>
      </c>
      <c r="AS258" s="11"/>
    </row>
    <row r="259" spans="1:45" x14ac:dyDescent="0.2">
      <c r="A259" s="11"/>
      <c r="B259" s="11"/>
      <c r="C259" s="11"/>
      <c r="D259" s="11"/>
      <c r="E259" s="11"/>
      <c r="F259" s="11"/>
      <c r="G259" s="12"/>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3" t="str">
        <f t="shared" si="9"/>
        <v/>
      </c>
      <c r="AL259" s="11"/>
      <c r="AM259" s="11" t="str">
        <f t="shared" si="10"/>
        <v/>
      </c>
      <c r="AN259" s="11"/>
      <c r="AO259" s="11"/>
      <c r="AP259" s="11"/>
      <c r="AQ259" s="12"/>
      <c r="AR259" s="12" t="str">
        <f t="shared" si="11"/>
        <v/>
      </c>
      <c r="AS259" s="11"/>
    </row>
    <row r="260" spans="1:45" x14ac:dyDescent="0.2">
      <c r="A260" s="11"/>
      <c r="B260" s="11"/>
      <c r="C260" s="11"/>
      <c r="D260" s="11"/>
      <c r="E260" s="11"/>
      <c r="F260" s="11"/>
      <c r="G260" s="12"/>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3" t="str">
        <f t="shared" si="9"/>
        <v/>
      </c>
      <c r="AL260" s="11"/>
      <c r="AM260" s="11" t="str">
        <f t="shared" si="10"/>
        <v/>
      </c>
      <c r="AN260" s="11"/>
      <c r="AO260" s="11"/>
      <c r="AP260" s="11"/>
      <c r="AQ260" s="12"/>
      <c r="AR260" s="12" t="str">
        <f t="shared" si="11"/>
        <v/>
      </c>
      <c r="AS260" s="11"/>
    </row>
    <row r="261" spans="1:45" x14ac:dyDescent="0.2">
      <c r="A261" s="11"/>
      <c r="B261" s="11"/>
      <c r="C261" s="11"/>
      <c r="D261" s="11"/>
      <c r="E261" s="11"/>
      <c r="F261" s="11"/>
      <c r="G261" s="12"/>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3" t="str">
        <f t="shared" ref="AK261:AK324" si="12">IF(C261="","",(B261="")+(C261="")+(D261="")+(E261="")+(F261="")+(H261="")+(I261="")+(J261="")+(L261="")+(M261="")+(Q261="")+(S261="")+(T261="")+(U261="")+(V261="")+(W261="")+(Y261="")+(Z261="")+(AB261="")+(AD261="")+(AE261="")+(AF261="")+(AI261=""))</f>
        <v/>
      </c>
      <c r="AL261" s="11"/>
      <c r="AM261" s="11" t="str">
        <f t="shared" ref="AM261:AM324" si="13">IF(C261="","",IF(OR(T261="Yes",W261="Yes",Y261="Yes",AE261="Yes",AF261="Fully automated"),"Review for High","-"))</f>
        <v/>
      </c>
      <c r="AN261" s="11"/>
      <c r="AO261" s="11"/>
      <c r="AP261" s="11"/>
      <c r="AQ261" s="12"/>
      <c r="AR261" s="12" t="str">
        <f t="shared" ref="AR261:AR324" si="14">IF(OR(AN261="",AQ261=""),"",IF(AN261="High",EDATE(AQ261,3),IF(AN261="Medium",EDATE(AQ261,12),"On material change")))</f>
        <v/>
      </c>
      <c r="AS261" s="11"/>
    </row>
    <row r="262" spans="1:45" x14ac:dyDescent="0.2">
      <c r="A262" s="11"/>
      <c r="B262" s="11"/>
      <c r="C262" s="11"/>
      <c r="D262" s="11"/>
      <c r="E262" s="11"/>
      <c r="F262" s="11"/>
      <c r="G262" s="12"/>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3" t="str">
        <f t="shared" si="12"/>
        <v/>
      </c>
      <c r="AL262" s="11"/>
      <c r="AM262" s="11" t="str">
        <f t="shared" si="13"/>
        <v/>
      </c>
      <c r="AN262" s="11"/>
      <c r="AO262" s="11"/>
      <c r="AP262" s="11"/>
      <c r="AQ262" s="12"/>
      <c r="AR262" s="12" t="str">
        <f t="shared" si="14"/>
        <v/>
      </c>
      <c r="AS262" s="11"/>
    </row>
    <row r="263" spans="1:45" x14ac:dyDescent="0.2">
      <c r="A263" s="11"/>
      <c r="B263" s="11"/>
      <c r="C263" s="11"/>
      <c r="D263" s="11"/>
      <c r="E263" s="11"/>
      <c r="F263" s="11"/>
      <c r="G263" s="12"/>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3" t="str">
        <f t="shared" si="12"/>
        <v/>
      </c>
      <c r="AL263" s="11"/>
      <c r="AM263" s="11" t="str">
        <f t="shared" si="13"/>
        <v/>
      </c>
      <c r="AN263" s="11"/>
      <c r="AO263" s="11"/>
      <c r="AP263" s="11"/>
      <c r="AQ263" s="12"/>
      <c r="AR263" s="12" t="str">
        <f t="shared" si="14"/>
        <v/>
      </c>
      <c r="AS263" s="11"/>
    </row>
    <row r="264" spans="1:45" x14ac:dyDescent="0.2">
      <c r="A264" s="11"/>
      <c r="B264" s="11"/>
      <c r="C264" s="11"/>
      <c r="D264" s="11"/>
      <c r="E264" s="11"/>
      <c r="F264" s="11"/>
      <c r="G264" s="12"/>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3" t="str">
        <f t="shared" si="12"/>
        <v/>
      </c>
      <c r="AL264" s="11"/>
      <c r="AM264" s="11" t="str">
        <f t="shared" si="13"/>
        <v/>
      </c>
      <c r="AN264" s="11"/>
      <c r="AO264" s="11"/>
      <c r="AP264" s="11"/>
      <c r="AQ264" s="12"/>
      <c r="AR264" s="12" t="str">
        <f t="shared" si="14"/>
        <v/>
      </c>
      <c r="AS264" s="11"/>
    </row>
    <row r="265" spans="1:45" x14ac:dyDescent="0.2">
      <c r="A265" s="11"/>
      <c r="B265" s="11"/>
      <c r="C265" s="11"/>
      <c r="D265" s="11"/>
      <c r="E265" s="11"/>
      <c r="F265" s="11"/>
      <c r="G265" s="12"/>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3" t="str">
        <f t="shared" si="12"/>
        <v/>
      </c>
      <c r="AL265" s="11"/>
      <c r="AM265" s="11" t="str">
        <f t="shared" si="13"/>
        <v/>
      </c>
      <c r="AN265" s="11"/>
      <c r="AO265" s="11"/>
      <c r="AP265" s="11"/>
      <c r="AQ265" s="12"/>
      <c r="AR265" s="12" t="str">
        <f t="shared" si="14"/>
        <v/>
      </c>
      <c r="AS265" s="11"/>
    </row>
    <row r="266" spans="1:45" x14ac:dyDescent="0.2">
      <c r="A266" s="11"/>
      <c r="B266" s="11"/>
      <c r="C266" s="11"/>
      <c r="D266" s="11"/>
      <c r="E266" s="11"/>
      <c r="F266" s="11"/>
      <c r="G266" s="12"/>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3" t="str">
        <f t="shared" si="12"/>
        <v/>
      </c>
      <c r="AL266" s="11"/>
      <c r="AM266" s="11" t="str">
        <f t="shared" si="13"/>
        <v/>
      </c>
      <c r="AN266" s="11"/>
      <c r="AO266" s="11"/>
      <c r="AP266" s="11"/>
      <c r="AQ266" s="12"/>
      <c r="AR266" s="12" t="str">
        <f t="shared" si="14"/>
        <v/>
      </c>
      <c r="AS266" s="11"/>
    </row>
    <row r="267" spans="1:45" x14ac:dyDescent="0.2">
      <c r="A267" s="11"/>
      <c r="B267" s="11"/>
      <c r="C267" s="11"/>
      <c r="D267" s="11"/>
      <c r="E267" s="11"/>
      <c r="F267" s="11"/>
      <c r="G267" s="12"/>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3" t="str">
        <f t="shared" si="12"/>
        <v/>
      </c>
      <c r="AL267" s="11"/>
      <c r="AM267" s="11" t="str">
        <f t="shared" si="13"/>
        <v/>
      </c>
      <c r="AN267" s="11"/>
      <c r="AO267" s="11"/>
      <c r="AP267" s="11"/>
      <c r="AQ267" s="12"/>
      <c r="AR267" s="12" t="str">
        <f t="shared" si="14"/>
        <v/>
      </c>
      <c r="AS267" s="11"/>
    </row>
    <row r="268" spans="1:45" x14ac:dyDescent="0.2">
      <c r="A268" s="11"/>
      <c r="B268" s="11"/>
      <c r="C268" s="11"/>
      <c r="D268" s="11"/>
      <c r="E268" s="11"/>
      <c r="F268" s="11"/>
      <c r="G268" s="12"/>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3" t="str">
        <f t="shared" si="12"/>
        <v/>
      </c>
      <c r="AL268" s="11"/>
      <c r="AM268" s="11" t="str">
        <f t="shared" si="13"/>
        <v/>
      </c>
      <c r="AN268" s="11"/>
      <c r="AO268" s="11"/>
      <c r="AP268" s="11"/>
      <c r="AQ268" s="12"/>
      <c r="AR268" s="12" t="str">
        <f t="shared" si="14"/>
        <v/>
      </c>
      <c r="AS268" s="11"/>
    </row>
    <row r="269" spans="1:45" x14ac:dyDescent="0.2">
      <c r="A269" s="11"/>
      <c r="B269" s="11"/>
      <c r="C269" s="11"/>
      <c r="D269" s="11"/>
      <c r="E269" s="11"/>
      <c r="F269" s="11"/>
      <c r="G269" s="12"/>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3" t="str">
        <f t="shared" si="12"/>
        <v/>
      </c>
      <c r="AL269" s="11"/>
      <c r="AM269" s="11" t="str">
        <f t="shared" si="13"/>
        <v/>
      </c>
      <c r="AN269" s="11"/>
      <c r="AO269" s="11"/>
      <c r="AP269" s="11"/>
      <c r="AQ269" s="12"/>
      <c r="AR269" s="12" t="str">
        <f t="shared" si="14"/>
        <v/>
      </c>
      <c r="AS269" s="11"/>
    </row>
    <row r="270" spans="1:45" x14ac:dyDescent="0.2">
      <c r="A270" s="11"/>
      <c r="B270" s="11"/>
      <c r="C270" s="11"/>
      <c r="D270" s="11"/>
      <c r="E270" s="11"/>
      <c r="F270" s="11"/>
      <c r="G270" s="12"/>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3" t="str">
        <f t="shared" si="12"/>
        <v/>
      </c>
      <c r="AL270" s="11"/>
      <c r="AM270" s="11" t="str">
        <f t="shared" si="13"/>
        <v/>
      </c>
      <c r="AN270" s="11"/>
      <c r="AO270" s="11"/>
      <c r="AP270" s="11"/>
      <c r="AQ270" s="12"/>
      <c r="AR270" s="12" t="str">
        <f t="shared" si="14"/>
        <v/>
      </c>
      <c r="AS270" s="11"/>
    </row>
    <row r="271" spans="1:45" x14ac:dyDescent="0.2">
      <c r="A271" s="11"/>
      <c r="B271" s="11"/>
      <c r="C271" s="11"/>
      <c r="D271" s="11"/>
      <c r="E271" s="11"/>
      <c r="F271" s="11"/>
      <c r="G271" s="12"/>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3" t="str">
        <f t="shared" si="12"/>
        <v/>
      </c>
      <c r="AL271" s="11"/>
      <c r="AM271" s="11" t="str">
        <f t="shared" si="13"/>
        <v/>
      </c>
      <c r="AN271" s="11"/>
      <c r="AO271" s="11"/>
      <c r="AP271" s="11"/>
      <c r="AQ271" s="12"/>
      <c r="AR271" s="12" t="str">
        <f t="shared" si="14"/>
        <v/>
      </c>
      <c r="AS271" s="11"/>
    </row>
    <row r="272" spans="1:45" x14ac:dyDescent="0.2">
      <c r="A272" s="11"/>
      <c r="B272" s="11"/>
      <c r="C272" s="11"/>
      <c r="D272" s="11"/>
      <c r="E272" s="11"/>
      <c r="F272" s="11"/>
      <c r="G272" s="12"/>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3" t="str">
        <f t="shared" si="12"/>
        <v/>
      </c>
      <c r="AL272" s="11"/>
      <c r="AM272" s="11" t="str">
        <f t="shared" si="13"/>
        <v/>
      </c>
      <c r="AN272" s="11"/>
      <c r="AO272" s="11"/>
      <c r="AP272" s="11"/>
      <c r="AQ272" s="12"/>
      <c r="AR272" s="12" t="str">
        <f t="shared" si="14"/>
        <v/>
      </c>
      <c r="AS272" s="11"/>
    </row>
    <row r="273" spans="1:45" x14ac:dyDescent="0.2">
      <c r="A273" s="11"/>
      <c r="B273" s="11"/>
      <c r="C273" s="11"/>
      <c r="D273" s="11"/>
      <c r="E273" s="11"/>
      <c r="F273" s="11"/>
      <c r="G273" s="12"/>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3" t="str">
        <f t="shared" si="12"/>
        <v/>
      </c>
      <c r="AL273" s="11"/>
      <c r="AM273" s="11" t="str">
        <f t="shared" si="13"/>
        <v/>
      </c>
      <c r="AN273" s="11"/>
      <c r="AO273" s="11"/>
      <c r="AP273" s="11"/>
      <c r="AQ273" s="12"/>
      <c r="AR273" s="12" t="str">
        <f t="shared" si="14"/>
        <v/>
      </c>
      <c r="AS273" s="11"/>
    </row>
    <row r="274" spans="1:45" x14ac:dyDescent="0.2">
      <c r="A274" s="11"/>
      <c r="B274" s="11"/>
      <c r="C274" s="11"/>
      <c r="D274" s="11"/>
      <c r="E274" s="11"/>
      <c r="F274" s="11"/>
      <c r="G274" s="12"/>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3" t="str">
        <f t="shared" si="12"/>
        <v/>
      </c>
      <c r="AL274" s="11"/>
      <c r="AM274" s="11" t="str">
        <f t="shared" si="13"/>
        <v/>
      </c>
      <c r="AN274" s="11"/>
      <c r="AO274" s="11"/>
      <c r="AP274" s="11"/>
      <c r="AQ274" s="12"/>
      <c r="AR274" s="12" t="str">
        <f t="shared" si="14"/>
        <v/>
      </c>
      <c r="AS274" s="11"/>
    </row>
    <row r="275" spans="1:45" x14ac:dyDescent="0.2">
      <c r="A275" s="11"/>
      <c r="B275" s="11"/>
      <c r="C275" s="11"/>
      <c r="D275" s="11"/>
      <c r="E275" s="11"/>
      <c r="F275" s="11"/>
      <c r="G275" s="12"/>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3" t="str">
        <f t="shared" si="12"/>
        <v/>
      </c>
      <c r="AL275" s="11"/>
      <c r="AM275" s="11" t="str">
        <f t="shared" si="13"/>
        <v/>
      </c>
      <c r="AN275" s="11"/>
      <c r="AO275" s="11"/>
      <c r="AP275" s="11"/>
      <c r="AQ275" s="12"/>
      <c r="AR275" s="12" t="str">
        <f t="shared" si="14"/>
        <v/>
      </c>
      <c r="AS275" s="11"/>
    </row>
    <row r="276" spans="1:45" x14ac:dyDescent="0.2">
      <c r="A276" s="11"/>
      <c r="B276" s="11"/>
      <c r="C276" s="11"/>
      <c r="D276" s="11"/>
      <c r="E276" s="11"/>
      <c r="F276" s="11"/>
      <c r="G276" s="12"/>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3" t="str">
        <f t="shared" si="12"/>
        <v/>
      </c>
      <c r="AL276" s="11"/>
      <c r="AM276" s="11" t="str">
        <f t="shared" si="13"/>
        <v/>
      </c>
      <c r="AN276" s="11"/>
      <c r="AO276" s="11"/>
      <c r="AP276" s="11"/>
      <c r="AQ276" s="12"/>
      <c r="AR276" s="12" t="str">
        <f t="shared" si="14"/>
        <v/>
      </c>
      <c r="AS276" s="11"/>
    </row>
    <row r="277" spans="1:45" x14ac:dyDescent="0.2">
      <c r="A277" s="11"/>
      <c r="B277" s="11"/>
      <c r="C277" s="11"/>
      <c r="D277" s="11"/>
      <c r="E277" s="11"/>
      <c r="F277" s="11"/>
      <c r="G277" s="12"/>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3" t="str">
        <f t="shared" si="12"/>
        <v/>
      </c>
      <c r="AL277" s="11"/>
      <c r="AM277" s="11" t="str">
        <f t="shared" si="13"/>
        <v/>
      </c>
      <c r="AN277" s="11"/>
      <c r="AO277" s="11"/>
      <c r="AP277" s="11"/>
      <c r="AQ277" s="12"/>
      <c r="AR277" s="12" t="str">
        <f t="shared" si="14"/>
        <v/>
      </c>
      <c r="AS277" s="11"/>
    </row>
    <row r="278" spans="1:45" x14ac:dyDescent="0.2">
      <c r="A278" s="11"/>
      <c r="B278" s="11"/>
      <c r="C278" s="11"/>
      <c r="D278" s="11"/>
      <c r="E278" s="11"/>
      <c r="F278" s="11"/>
      <c r="G278" s="12"/>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3" t="str">
        <f t="shared" si="12"/>
        <v/>
      </c>
      <c r="AL278" s="11"/>
      <c r="AM278" s="11" t="str">
        <f t="shared" si="13"/>
        <v/>
      </c>
      <c r="AN278" s="11"/>
      <c r="AO278" s="11"/>
      <c r="AP278" s="11"/>
      <c r="AQ278" s="12"/>
      <c r="AR278" s="12" t="str">
        <f t="shared" si="14"/>
        <v/>
      </c>
      <c r="AS278" s="11"/>
    </row>
    <row r="279" spans="1:45" x14ac:dyDescent="0.2">
      <c r="A279" s="11"/>
      <c r="B279" s="11"/>
      <c r="C279" s="11"/>
      <c r="D279" s="11"/>
      <c r="E279" s="11"/>
      <c r="F279" s="11"/>
      <c r="G279" s="12"/>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3" t="str">
        <f t="shared" si="12"/>
        <v/>
      </c>
      <c r="AL279" s="11"/>
      <c r="AM279" s="11" t="str">
        <f t="shared" si="13"/>
        <v/>
      </c>
      <c r="AN279" s="11"/>
      <c r="AO279" s="11"/>
      <c r="AP279" s="11"/>
      <c r="AQ279" s="12"/>
      <c r="AR279" s="12" t="str">
        <f t="shared" si="14"/>
        <v/>
      </c>
      <c r="AS279" s="11"/>
    </row>
    <row r="280" spans="1:45" x14ac:dyDescent="0.2">
      <c r="A280" s="11"/>
      <c r="B280" s="11"/>
      <c r="C280" s="11"/>
      <c r="D280" s="11"/>
      <c r="E280" s="11"/>
      <c r="F280" s="11"/>
      <c r="G280" s="12"/>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3" t="str">
        <f t="shared" si="12"/>
        <v/>
      </c>
      <c r="AL280" s="11"/>
      <c r="AM280" s="11" t="str">
        <f t="shared" si="13"/>
        <v/>
      </c>
      <c r="AN280" s="11"/>
      <c r="AO280" s="11"/>
      <c r="AP280" s="11"/>
      <c r="AQ280" s="12"/>
      <c r="AR280" s="12" t="str">
        <f t="shared" si="14"/>
        <v/>
      </c>
      <c r="AS280" s="11"/>
    </row>
    <row r="281" spans="1:45" x14ac:dyDescent="0.2">
      <c r="A281" s="11"/>
      <c r="B281" s="11"/>
      <c r="C281" s="11"/>
      <c r="D281" s="11"/>
      <c r="E281" s="11"/>
      <c r="F281" s="11"/>
      <c r="G281" s="12"/>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3" t="str">
        <f t="shared" si="12"/>
        <v/>
      </c>
      <c r="AL281" s="11"/>
      <c r="AM281" s="11" t="str">
        <f t="shared" si="13"/>
        <v/>
      </c>
      <c r="AN281" s="11"/>
      <c r="AO281" s="11"/>
      <c r="AP281" s="11"/>
      <c r="AQ281" s="12"/>
      <c r="AR281" s="12" t="str">
        <f t="shared" si="14"/>
        <v/>
      </c>
      <c r="AS281" s="11"/>
    </row>
    <row r="282" spans="1:45" x14ac:dyDescent="0.2">
      <c r="A282" s="11"/>
      <c r="B282" s="11"/>
      <c r="C282" s="11"/>
      <c r="D282" s="11"/>
      <c r="E282" s="11"/>
      <c r="F282" s="11"/>
      <c r="G282" s="12"/>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3" t="str">
        <f t="shared" si="12"/>
        <v/>
      </c>
      <c r="AL282" s="11"/>
      <c r="AM282" s="11" t="str">
        <f t="shared" si="13"/>
        <v/>
      </c>
      <c r="AN282" s="11"/>
      <c r="AO282" s="11"/>
      <c r="AP282" s="11"/>
      <c r="AQ282" s="12"/>
      <c r="AR282" s="12" t="str">
        <f t="shared" si="14"/>
        <v/>
      </c>
      <c r="AS282" s="11"/>
    </row>
    <row r="283" spans="1:45" x14ac:dyDescent="0.2">
      <c r="A283" s="11"/>
      <c r="B283" s="11"/>
      <c r="C283" s="11"/>
      <c r="D283" s="11"/>
      <c r="E283" s="11"/>
      <c r="F283" s="11"/>
      <c r="G283" s="12"/>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3" t="str">
        <f t="shared" si="12"/>
        <v/>
      </c>
      <c r="AL283" s="11"/>
      <c r="AM283" s="11" t="str">
        <f t="shared" si="13"/>
        <v/>
      </c>
      <c r="AN283" s="11"/>
      <c r="AO283" s="11"/>
      <c r="AP283" s="11"/>
      <c r="AQ283" s="12"/>
      <c r="AR283" s="12" t="str">
        <f t="shared" si="14"/>
        <v/>
      </c>
      <c r="AS283" s="11"/>
    </row>
    <row r="284" spans="1:45" x14ac:dyDescent="0.2">
      <c r="A284" s="11"/>
      <c r="B284" s="11"/>
      <c r="C284" s="11"/>
      <c r="D284" s="11"/>
      <c r="E284" s="11"/>
      <c r="F284" s="11"/>
      <c r="G284" s="12"/>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3" t="str">
        <f t="shared" si="12"/>
        <v/>
      </c>
      <c r="AL284" s="11"/>
      <c r="AM284" s="11" t="str">
        <f t="shared" si="13"/>
        <v/>
      </c>
      <c r="AN284" s="11"/>
      <c r="AO284" s="11"/>
      <c r="AP284" s="11"/>
      <c r="AQ284" s="12"/>
      <c r="AR284" s="12" t="str">
        <f t="shared" si="14"/>
        <v/>
      </c>
      <c r="AS284" s="11"/>
    </row>
    <row r="285" spans="1:45" x14ac:dyDescent="0.2">
      <c r="A285" s="11"/>
      <c r="B285" s="11"/>
      <c r="C285" s="11"/>
      <c r="D285" s="11"/>
      <c r="E285" s="11"/>
      <c r="F285" s="11"/>
      <c r="G285" s="12"/>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3" t="str">
        <f t="shared" si="12"/>
        <v/>
      </c>
      <c r="AL285" s="11"/>
      <c r="AM285" s="11" t="str">
        <f t="shared" si="13"/>
        <v/>
      </c>
      <c r="AN285" s="11"/>
      <c r="AO285" s="11"/>
      <c r="AP285" s="11"/>
      <c r="AQ285" s="12"/>
      <c r="AR285" s="12" t="str">
        <f t="shared" si="14"/>
        <v/>
      </c>
      <c r="AS285" s="11"/>
    </row>
    <row r="286" spans="1:45" x14ac:dyDescent="0.2">
      <c r="A286" s="11"/>
      <c r="B286" s="11"/>
      <c r="C286" s="11"/>
      <c r="D286" s="11"/>
      <c r="E286" s="11"/>
      <c r="F286" s="11"/>
      <c r="G286" s="12"/>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3" t="str">
        <f t="shared" si="12"/>
        <v/>
      </c>
      <c r="AL286" s="11"/>
      <c r="AM286" s="11" t="str">
        <f t="shared" si="13"/>
        <v/>
      </c>
      <c r="AN286" s="11"/>
      <c r="AO286" s="11"/>
      <c r="AP286" s="11"/>
      <c r="AQ286" s="12"/>
      <c r="AR286" s="12" t="str">
        <f t="shared" si="14"/>
        <v/>
      </c>
      <c r="AS286" s="11"/>
    </row>
    <row r="287" spans="1:45" x14ac:dyDescent="0.2">
      <c r="A287" s="11"/>
      <c r="B287" s="11"/>
      <c r="C287" s="11"/>
      <c r="D287" s="11"/>
      <c r="E287" s="11"/>
      <c r="F287" s="11"/>
      <c r="G287" s="12"/>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3" t="str">
        <f t="shared" si="12"/>
        <v/>
      </c>
      <c r="AL287" s="11"/>
      <c r="AM287" s="11" t="str">
        <f t="shared" si="13"/>
        <v/>
      </c>
      <c r="AN287" s="11"/>
      <c r="AO287" s="11"/>
      <c r="AP287" s="11"/>
      <c r="AQ287" s="12"/>
      <c r="AR287" s="12" t="str">
        <f t="shared" si="14"/>
        <v/>
      </c>
      <c r="AS287" s="11"/>
    </row>
    <row r="288" spans="1:45" x14ac:dyDescent="0.2">
      <c r="A288" s="11"/>
      <c r="B288" s="11"/>
      <c r="C288" s="11"/>
      <c r="D288" s="11"/>
      <c r="E288" s="11"/>
      <c r="F288" s="11"/>
      <c r="G288" s="12"/>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3" t="str">
        <f t="shared" si="12"/>
        <v/>
      </c>
      <c r="AL288" s="11"/>
      <c r="AM288" s="11" t="str">
        <f t="shared" si="13"/>
        <v/>
      </c>
      <c r="AN288" s="11"/>
      <c r="AO288" s="11"/>
      <c r="AP288" s="11"/>
      <c r="AQ288" s="12"/>
      <c r="AR288" s="12" t="str">
        <f t="shared" si="14"/>
        <v/>
      </c>
      <c r="AS288" s="11"/>
    </row>
    <row r="289" spans="1:45" x14ac:dyDescent="0.2">
      <c r="A289" s="11"/>
      <c r="B289" s="11"/>
      <c r="C289" s="11"/>
      <c r="D289" s="11"/>
      <c r="E289" s="11"/>
      <c r="F289" s="11"/>
      <c r="G289" s="12"/>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3" t="str">
        <f t="shared" si="12"/>
        <v/>
      </c>
      <c r="AL289" s="11"/>
      <c r="AM289" s="11" t="str">
        <f t="shared" si="13"/>
        <v/>
      </c>
      <c r="AN289" s="11"/>
      <c r="AO289" s="11"/>
      <c r="AP289" s="11"/>
      <c r="AQ289" s="12"/>
      <c r="AR289" s="12" t="str">
        <f t="shared" si="14"/>
        <v/>
      </c>
      <c r="AS289" s="11"/>
    </row>
    <row r="290" spans="1:45" x14ac:dyDescent="0.2">
      <c r="A290" s="11"/>
      <c r="B290" s="11"/>
      <c r="C290" s="11"/>
      <c r="D290" s="11"/>
      <c r="E290" s="11"/>
      <c r="F290" s="11"/>
      <c r="G290" s="12"/>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3" t="str">
        <f t="shared" si="12"/>
        <v/>
      </c>
      <c r="AL290" s="11"/>
      <c r="AM290" s="11" t="str">
        <f t="shared" si="13"/>
        <v/>
      </c>
      <c r="AN290" s="11"/>
      <c r="AO290" s="11"/>
      <c r="AP290" s="11"/>
      <c r="AQ290" s="12"/>
      <c r="AR290" s="12" t="str">
        <f t="shared" si="14"/>
        <v/>
      </c>
      <c r="AS290" s="11"/>
    </row>
    <row r="291" spans="1:45" x14ac:dyDescent="0.2">
      <c r="A291" s="11"/>
      <c r="B291" s="11"/>
      <c r="C291" s="11"/>
      <c r="D291" s="11"/>
      <c r="E291" s="11"/>
      <c r="F291" s="11"/>
      <c r="G291" s="12"/>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3" t="str">
        <f t="shared" si="12"/>
        <v/>
      </c>
      <c r="AL291" s="11"/>
      <c r="AM291" s="11" t="str">
        <f t="shared" si="13"/>
        <v/>
      </c>
      <c r="AN291" s="11"/>
      <c r="AO291" s="11"/>
      <c r="AP291" s="11"/>
      <c r="AQ291" s="12"/>
      <c r="AR291" s="12" t="str">
        <f t="shared" si="14"/>
        <v/>
      </c>
      <c r="AS291" s="11"/>
    </row>
    <row r="292" spans="1:45" x14ac:dyDescent="0.2">
      <c r="A292" s="11"/>
      <c r="B292" s="11"/>
      <c r="C292" s="11"/>
      <c r="D292" s="11"/>
      <c r="E292" s="11"/>
      <c r="F292" s="11"/>
      <c r="G292" s="12"/>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3" t="str">
        <f t="shared" si="12"/>
        <v/>
      </c>
      <c r="AL292" s="11"/>
      <c r="AM292" s="11" t="str">
        <f t="shared" si="13"/>
        <v/>
      </c>
      <c r="AN292" s="11"/>
      <c r="AO292" s="11"/>
      <c r="AP292" s="11"/>
      <c r="AQ292" s="12"/>
      <c r="AR292" s="12" t="str">
        <f t="shared" si="14"/>
        <v/>
      </c>
      <c r="AS292" s="11"/>
    </row>
    <row r="293" spans="1:45" x14ac:dyDescent="0.2">
      <c r="A293" s="11"/>
      <c r="B293" s="11"/>
      <c r="C293" s="11"/>
      <c r="D293" s="11"/>
      <c r="E293" s="11"/>
      <c r="F293" s="11"/>
      <c r="G293" s="12"/>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3" t="str">
        <f t="shared" si="12"/>
        <v/>
      </c>
      <c r="AL293" s="11"/>
      <c r="AM293" s="11" t="str">
        <f t="shared" si="13"/>
        <v/>
      </c>
      <c r="AN293" s="11"/>
      <c r="AO293" s="11"/>
      <c r="AP293" s="11"/>
      <c r="AQ293" s="12"/>
      <c r="AR293" s="12" t="str">
        <f t="shared" si="14"/>
        <v/>
      </c>
      <c r="AS293" s="11"/>
    </row>
    <row r="294" spans="1:45" x14ac:dyDescent="0.2">
      <c r="A294" s="11"/>
      <c r="B294" s="11"/>
      <c r="C294" s="11"/>
      <c r="D294" s="11"/>
      <c r="E294" s="11"/>
      <c r="F294" s="11"/>
      <c r="G294" s="12"/>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3" t="str">
        <f t="shared" si="12"/>
        <v/>
      </c>
      <c r="AL294" s="11"/>
      <c r="AM294" s="11" t="str">
        <f t="shared" si="13"/>
        <v/>
      </c>
      <c r="AN294" s="11"/>
      <c r="AO294" s="11"/>
      <c r="AP294" s="11"/>
      <c r="AQ294" s="12"/>
      <c r="AR294" s="12" t="str">
        <f t="shared" si="14"/>
        <v/>
      </c>
      <c r="AS294" s="11"/>
    </row>
    <row r="295" spans="1:45" x14ac:dyDescent="0.2">
      <c r="A295" s="11"/>
      <c r="B295" s="11"/>
      <c r="C295" s="11"/>
      <c r="D295" s="11"/>
      <c r="E295" s="11"/>
      <c r="F295" s="11"/>
      <c r="G295" s="12"/>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3" t="str">
        <f t="shared" si="12"/>
        <v/>
      </c>
      <c r="AL295" s="11"/>
      <c r="AM295" s="11" t="str">
        <f t="shared" si="13"/>
        <v/>
      </c>
      <c r="AN295" s="11"/>
      <c r="AO295" s="11"/>
      <c r="AP295" s="11"/>
      <c r="AQ295" s="12"/>
      <c r="AR295" s="12" t="str">
        <f t="shared" si="14"/>
        <v/>
      </c>
      <c r="AS295" s="11"/>
    </row>
    <row r="296" spans="1:45" x14ac:dyDescent="0.2">
      <c r="A296" s="11"/>
      <c r="B296" s="11"/>
      <c r="C296" s="11"/>
      <c r="D296" s="11"/>
      <c r="E296" s="11"/>
      <c r="F296" s="11"/>
      <c r="G296" s="12"/>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3" t="str">
        <f t="shared" si="12"/>
        <v/>
      </c>
      <c r="AL296" s="11"/>
      <c r="AM296" s="11" t="str">
        <f t="shared" si="13"/>
        <v/>
      </c>
      <c r="AN296" s="11"/>
      <c r="AO296" s="11"/>
      <c r="AP296" s="11"/>
      <c r="AQ296" s="12"/>
      <c r="AR296" s="12" t="str">
        <f t="shared" si="14"/>
        <v/>
      </c>
      <c r="AS296" s="11"/>
    </row>
    <row r="297" spans="1:45" x14ac:dyDescent="0.2">
      <c r="A297" s="11"/>
      <c r="B297" s="11"/>
      <c r="C297" s="11"/>
      <c r="D297" s="11"/>
      <c r="E297" s="11"/>
      <c r="F297" s="11"/>
      <c r="G297" s="12"/>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3" t="str">
        <f t="shared" si="12"/>
        <v/>
      </c>
      <c r="AL297" s="11"/>
      <c r="AM297" s="11" t="str">
        <f t="shared" si="13"/>
        <v/>
      </c>
      <c r="AN297" s="11"/>
      <c r="AO297" s="11"/>
      <c r="AP297" s="11"/>
      <c r="AQ297" s="12"/>
      <c r="AR297" s="12" t="str">
        <f t="shared" si="14"/>
        <v/>
      </c>
      <c r="AS297" s="11"/>
    </row>
    <row r="298" spans="1:45" x14ac:dyDescent="0.2">
      <c r="A298" s="11"/>
      <c r="B298" s="11"/>
      <c r="C298" s="11"/>
      <c r="D298" s="11"/>
      <c r="E298" s="11"/>
      <c r="F298" s="11"/>
      <c r="G298" s="12"/>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3" t="str">
        <f t="shared" si="12"/>
        <v/>
      </c>
      <c r="AL298" s="11"/>
      <c r="AM298" s="11" t="str">
        <f t="shared" si="13"/>
        <v/>
      </c>
      <c r="AN298" s="11"/>
      <c r="AO298" s="11"/>
      <c r="AP298" s="11"/>
      <c r="AQ298" s="12"/>
      <c r="AR298" s="12" t="str">
        <f t="shared" si="14"/>
        <v/>
      </c>
      <c r="AS298" s="11"/>
    </row>
    <row r="299" spans="1:45" x14ac:dyDescent="0.2">
      <c r="A299" s="11"/>
      <c r="B299" s="11"/>
      <c r="C299" s="11"/>
      <c r="D299" s="11"/>
      <c r="E299" s="11"/>
      <c r="F299" s="11"/>
      <c r="G299" s="12"/>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3" t="str">
        <f t="shared" si="12"/>
        <v/>
      </c>
      <c r="AL299" s="11"/>
      <c r="AM299" s="11" t="str">
        <f t="shared" si="13"/>
        <v/>
      </c>
      <c r="AN299" s="11"/>
      <c r="AO299" s="11"/>
      <c r="AP299" s="11"/>
      <c r="AQ299" s="12"/>
      <c r="AR299" s="12" t="str">
        <f t="shared" si="14"/>
        <v/>
      </c>
      <c r="AS299" s="11"/>
    </row>
    <row r="300" spans="1:45" x14ac:dyDescent="0.2">
      <c r="A300" s="11"/>
      <c r="B300" s="11"/>
      <c r="C300" s="11"/>
      <c r="D300" s="11"/>
      <c r="E300" s="11"/>
      <c r="F300" s="11"/>
      <c r="G300" s="12"/>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3" t="str">
        <f t="shared" si="12"/>
        <v/>
      </c>
      <c r="AL300" s="11"/>
      <c r="AM300" s="11" t="str">
        <f t="shared" si="13"/>
        <v/>
      </c>
      <c r="AN300" s="11"/>
      <c r="AO300" s="11"/>
      <c r="AP300" s="11"/>
      <c r="AQ300" s="12"/>
      <c r="AR300" s="12" t="str">
        <f t="shared" si="14"/>
        <v/>
      </c>
      <c r="AS300" s="11"/>
    </row>
    <row r="301" spans="1:45" x14ac:dyDescent="0.2">
      <c r="A301" s="11"/>
      <c r="B301" s="11"/>
      <c r="C301" s="11"/>
      <c r="D301" s="11"/>
      <c r="E301" s="11"/>
      <c r="F301" s="11"/>
      <c r="G301" s="12"/>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3" t="str">
        <f t="shared" si="12"/>
        <v/>
      </c>
      <c r="AL301" s="11"/>
      <c r="AM301" s="11" t="str">
        <f t="shared" si="13"/>
        <v/>
      </c>
      <c r="AN301" s="11"/>
      <c r="AO301" s="11"/>
      <c r="AP301" s="11"/>
      <c r="AQ301" s="12"/>
      <c r="AR301" s="12" t="str">
        <f t="shared" si="14"/>
        <v/>
      </c>
      <c r="AS301" s="11"/>
    </row>
    <row r="302" spans="1:45" x14ac:dyDescent="0.2">
      <c r="A302" s="11"/>
      <c r="B302" s="11"/>
      <c r="C302" s="11"/>
      <c r="D302" s="11"/>
      <c r="E302" s="11"/>
      <c r="F302" s="11"/>
      <c r="G302" s="12"/>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3" t="str">
        <f t="shared" si="12"/>
        <v/>
      </c>
      <c r="AL302" s="11"/>
      <c r="AM302" s="11" t="str">
        <f t="shared" si="13"/>
        <v/>
      </c>
      <c r="AN302" s="11"/>
      <c r="AO302" s="11"/>
      <c r="AP302" s="11"/>
      <c r="AQ302" s="12"/>
      <c r="AR302" s="12" t="str">
        <f t="shared" si="14"/>
        <v/>
      </c>
      <c r="AS302" s="11"/>
    </row>
    <row r="303" spans="1:45" x14ac:dyDescent="0.2">
      <c r="A303" s="11"/>
      <c r="B303" s="11"/>
      <c r="C303" s="11"/>
      <c r="D303" s="11"/>
      <c r="E303" s="11"/>
      <c r="F303" s="11"/>
      <c r="G303" s="12"/>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3" t="str">
        <f t="shared" si="12"/>
        <v/>
      </c>
      <c r="AL303" s="11"/>
      <c r="AM303" s="11" t="str">
        <f t="shared" si="13"/>
        <v/>
      </c>
      <c r="AN303" s="11"/>
      <c r="AO303" s="11"/>
      <c r="AP303" s="11"/>
      <c r="AQ303" s="12"/>
      <c r="AR303" s="12" t="str">
        <f t="shared" si="14"/>
        <v/>
      </c>
      <c r="AS303" s="11"/>
    </row>
    <row r="304" spans="1:45" x14ac:dyDescent="0.2">
      <c r="A304" s="11"/>
      <c r="B304" s="11"/>
      <c r="C304" s="11"/>
      <c r="D304" s="11"/>
      <c r="E304" s="11"/>
      <c r="F304" s="11"/>
      <c r="G304" s="12"/>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3" t="str">
        <f t="shared" si="12"/>
        <v/>
      </c>
      <c r="AL304" s="11"/>
      <c r="AM304" s="11" t="str">
        <f t="shared" si="13"/>
        <v/>
      </c>
      <c r="AN304" s="11"/>
      <c r="AO304" s="11"/>
      <c r="AP304" s="11"/>
      <c r="AQ304" s="12"/>
      <c r="AR304" s="12" t="str">
        <f t="shared" si="14"/>
        <v/>
      </c>
      <c r="AS304" s="11"/>
    </row>
    <row r="305" spans="1:45" x14ac:dyDescent="0.2">
      <c r="A305" s="11"/>
      <c r="B305" s="11"/>
      <c r="C305" s="11"/>
      <c r="D305" s="11"/>
      <c r="E305" s="11"/>
      <c r="F305" s="11"/>
      <c r="G305" s="12"/>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3" t="str">
        <f t="shared" si="12"/>
        <v/>
      </c>
      <c r="AL305" s="11"/>
      <c r="AM305" s="11" t="str">
        <f t="shared" si="13"/>
        <v/>
      </c>
      <c r="AN305" s="11"/>
      <c r="AO305" s="11"/>
      <c r="AP305" s="11"/>
      <c r="AQ305" s="12"/>
      <c r="AR305" s="12" t="str">
        <f t="shared" si="14"/>
        <v/>
      </c>
      <c r="AS305" s="11"/>
    </row>
    <row r="306" spans="1:45" x14ac:dyDescent="0.2">
      <c r="A306" s="11"/>
      <c r="B306" s="11"/>
      <c r="C306" s="11"/>
      <c r="D306" s="11"/>
      <c r="E306" s="11"/>
      <c r="F306" s="11"/>
      <c r="G306" s="12"/>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3" t="str">
        <f t="shared" si="12"/>
        <v/>
      </c>
      <c r="AL306" s="11"/>
      <c r="AM306" s="11" t="str">
        <f t="shared" si="13"/>
        <v/>
      </c>
      <c r="AN306" s="11"/>
      <c r="AO306" s="11"/>
      <c r="AP306" s="11"/>
      <c r="AQ306" s="12"/>
      <c r="AR306" s="12" t="str">
        <f t="shared" si="14"/>
        <v/>
      </c>
      <c r="AS306" s="11"/>
    </row>
    <row r="307" spans="1:45" x14ac:dyDescent="0.2">
      <c r="A307" s="11"/>
      <c r="B307" s="11"/>
      <c r="C307" s="11"/>
      <c r="D307" s="11"/>
      <c r="E307" s="11"/>
      <c r="F307" s="11"/>
      <c r="G307" s="12"/>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3" t="str">
        <f t="shared" si="12"/>
        <v/>
      </c>
      <c r="AL307" s="11"/>
      <c r="AM307" s="11" t="str">
        <f t="shared" si="13"/>
        <v/>
      </c>
      <c r="AN307" s="11"/>
      <c r="AO307" s="11"/>
      <c r="AP307" s="11"/>
      <c r="AQ307" s="12"/>
      <c r="AR307" s="12" t="str">
        <f t="shared" si="14"/>
        <v/>
      </c>
      <c r="AS307" s="11"/>
    </row>
    <row r="308" spans="1:45" x14ac:dyDescent="0.2">
      <c r="A308" s="11"/>
      <c r="B308" s="11"/>
      <c r="C308" s="11"/>
      <c r="D308" s="11"/>
      <c r="E308" s="11"/>
      <c r="F308" s="11"/>
      <c r="G308" s="12"/>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3" t="str">
        <f t="shared" si="12"/>
        <v/>
      </c>
      <c r="AL308" s="11"/>
      <c r="AM308" s="11" t="str">
        <f t="shared" si="13"/>
        <v/>
      </c>
      <c r="AN308" s="11"/>
      <c r="AO308" s="11"/>
      <c r="AP308" s="11"/>
      <c r="AQ308" s="12"/>
      <c r="AR308" s="12" t="str">
        <f t="shared" si="14"/>
        <v/>
      </c>
      <c r="AS308" s="11"/>
    </row>
    <row r="309" spans="1:45" x14ac:dyDescent="0.2">
      <c r="A309" s="11"/>
      <c r="B309" s="11"/>
      <c r="C309" s="11"/>
      <c r="D309" s="11"/>
      <c r="E309" s="11"/>
      <c r="F309" s="11"/>
      <c r="G309" s="12"/>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3" t="str">
        <f t="shared" si="12"/>
        <v/>
      </c>
      <c r="AL309" s="11"/>
      <c r="AM309" s="11" t="str">
        <f t="shared" si="13"/>
        <v/>
      </c>
      <c r="AN309" s="11"/>
      <c r="AO309" s="11"/>
      <c r="AP309" s="11"/>
      <c r="AQ309" s="12"/>
      <c r="AR309" s="12" t="str">
        <f t="shared" si="14"/>
        <v/>
      </c>
      <c r="AS309" s="11"/>
    </row>
    <row r="310" spans="1:45" x14ac:dyDescent="0.2">
      <c r="A310" s="11"/>
      <c r="B310" s="11"/>
      <c r="C310" s="11"/>
      <c r="D310" s="11"/>
      <c r="E310" s="11"/>
      <c r="F310" s="11"/>
      <c r="G310" s="12"/>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3" t="str">
        <f t="shared" si="12"/>
        <v/>
      </c>
      <c r="AL310" s="11"/>
      <c r="AM310" s="11" t="str">
        <f t="shared" si="13"/>
        <v/>
      </c>
      <c r="AN310" s="11"/>
      <c r="AO310" s="11"/>
      <c r="AP310" s="11"/>
      <c r="AQ310" s="12"/>
      <c r="AR310" s="12" t="str">
        <f t="shared" si="14"/>
        <v/>
      </c>
      <c r="AS310" s="11"/>
    </row>
    <row r="311" spans="1:45" x14ac:dyDescent="0.2">
      <c r="A311" s="11"/>
      <c r="B311" s="11"/>
      <c r="C311" s="11"/>
      <c r="D311" s="11"/>
      <c r="E311" s="11"/>
      <c r="F311" s="11"/>
      <c r="G311" s="12"/>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3" t="str">
        <f t="shared" si="12"/>
        <v/>
      </c>
      <c r="AL311" s="11"/>
      <c r="AM311" s="11" t="str">
        <f t="shared" si="13"/>
        <v/>
      </c>
      <c r="AN311" s="11"/>
      <c r="AO311" s="11"/>
      <c r="AP311" s="11"/>
      <c r="AQ311" s="12"/>
      <c r="AR311" s="12" t="str">
        <f t="shared" si="14"/>
        <v/>
      </c>
      <c r="AS311" s="11"/>
    </row>
    <row r="312" spans="1:45" x14ac:dyDescent="0.2">
      <c r="A312" s="11"/>
      <c r="B312" s="11"/>
      <c r="C312" s="11"/>
      <c r="D312" s="11"/>
      <c r="E312" s="11"/>
      <c r="F312" s="11"/>
      <c r="G312" s="12"/>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3" t="str">
        <f t="shared" si="12"/>
        <v/>
      </c>
      <c r="AL312" s="11"/>
      <c r="AM312" s="11" t="str">
        <f t="shared" si="13"/>
        <v/>
      </c>
      <c r="AN312" s="11"/>
      <c r="AO312" s="11"/>
      <c r="AP312" s="11"/>
      <c r="AQ312" s="12"/>
      <c r="AR312" s="12" t="str">
        <f t="shared" si="14"/>
        <v/>
      </c>
      <c r="AS312" s="11"/>
    </row>
    <row r="313" spans="1:45" x14ac:dyDescent="0.2">
      <c r="A313" s="11"/>
      <c r="B313" s="11"/>
      <c r="C313" s="11"/>
      <c r="D313" s="11"/>
      <c r="E313" s="11"/>
      <c r="F313" s="11"/>
      <c r="G313" s="12"/>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3" t="str">
        <f t="shared" si="12"/>
        <v/>
      </c>
      <c r="AL313" s="11"/>
      <c r="AM313" s="11" t="str">
        <f t="shared" si="13"/>
        <v/>
      </c>
      <c r="AN313" s="11"/>
      <c r="AO313" s="11"/>
      <c r="AP313" s="11"/>
      <c r="AQ313" s="12"/>
      <c r="AR313" s="12" t="str">
        <f t="shared" si="14"/>
        <v/>
      </c>
      <c r="AS313" s="11"/>
    </row>
    <row r="314" spans="1:45" x14ac:dyDescent="0.2">
      <c r="A314" s="11"/>
      <c r="B314" s="11"/>
      <c r="C314" s="11"/>
      <c r="D314" s="11"/>
      <c r="E314" s="11"/>
      <c r="F314" s="11"/>
      <c r="G314" s="12"/>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3" t="str">
        <f t="shared" si="12"/>
        <v/>
      </c>
      <c r="AL314" s="11"/>
      <c r="AM314" s="11" t="str">
        <f t="shared" si="13"/>
        <v/>
      </c>
      <c r="AN314" s="11"/>
      <c r="AO314" s="11"/>
      <c r="AP314" s="11"/>
      <c r="AQ314" s="12"/>
      <c r="AR314" s="12" t="str">
        <f t="shared" si="14"/>
        <v/>
      </c>
      <c r="AS314" s="11"/>
    </row>
    <row r="315" spans="1:45" x14ac:dyDescent="0.2">
      <c r="A315" s="11"/>
      <c r="B315" s="11"/>
      <c r="C315" s="11"/>
      <c r="D315" s="11"/>
      <c r="E315" s="11"/>
      <c r="F315" s="11"/>
      <c r="G315" s="12"/>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3" t="str">
        <f t="shared" si="12"/>
        <v/>
      </c>
      <c r="AL315" s="11"/>
      <c r="AM315" s="11" t="str">
        <f t="shared" si="13"/>
        <v/>
      </c>
      <c r="AN315" s="11"/>
      <c r="AO315" s="11"/>
      <c r="AP315" s="11"/>
      <c r="AQ315" s="12"/>
      <c r="AR315" s="12" t="str">
        <f t="shared" si="14"/>
        <v/>
      </c>
      <c r="AS315" s="11"/>
    </row>
    <row r="316" spans="1:45" x14ac:dyDescent="0.2">
      <c r="A316" s="11"/>
      <c r="B316" s="11"/>
      <c r="C316" s="11"/>
      <c r="D316" s="11"/>
      <c r="E316" s="11"/>
      <c r="F316" s="11"/>
      <c r="G316" s="12"/>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3" t="str">
        <f t="shared" si="12"/>
        <v/>
      </c>
      <c r="AL316" s="11"/>
      <c r="AM316" s="11" t="str">
        <f t="shared" si="13"/>
        <v/>
      </c>
      <c r="AN316" s="11"/>
      <c r="AO316" s="11"/>
      <c r="AP316" s="11"/>
      <c r="AQ316" s="12"/>
      <c r="AR316" s="12" t="str">
        <f t="shared" si="14"/>
        <v/>
      </c>
      <c r="AS316" s="11"/>
    </row>
    <row r="317" spans="1:45" x14ac:dyDescent="0.2">
      <c r="A317" s="11"/>
      <c r="B317" s="11"/>
      <c r="C317" s="11"/>
      <c r="D317" s="11"/>
      <c r="E317" s="11"/>
      <c r="F317" s="11"/>
      <c r="G317" s="12"/>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3" t="str">
        <f t="shared" si="12"/>
        <v/>
      </c>
      <c r="AL317" s="11"/>
      <c r="AM317" s="11" t="str">
        <f t="shared" si="13"/>
        <v/>
      </c>
      <c r="AN317" s="11"/>
      <c r="AO317" s="11"/>
      <c r="AP317" s="11"/>
      <c r="AQ317" s="12"/>
      <c r="AR317" s="12" t="str">
        <f t="shared" si="14"/>
        <v/>
      </c>
      <c r="AS317" s="11"/>
    </row>
    <row r="318" spans="1:45" x14ac:dyDescent="0.2">
      <c r="A318" s="11"/>
      <c r="B318" s="11"/>
      <c r="C318" s="11"/>
      <c r="D318" s="11"/>
      <c r="E318" s="11"/>
      <c r="F318" s="11"/>
      <c r="G318" s="12"/>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3" t="str">
        <f t="shared" si="12"/>
        <v/>
      </c>
      <c r="AL318" s="11"/>
      <c r="AM318" s="11" t="str">
        <f t="shared" si="13"/>
        <v/>
      </c>
      <c r="AN318" s="11"/>
      <c r="AO318" s="11"/>
      <c r="AP318" s="11"/>
      <c r="AQ318" s="12"/>
      <c r="AR318" s="12" t="str">
        <f t="shared" si="14"/>
        <v/>
      </c>
      <c r="AS318" s="11"/>
    </row>
    <row r="319" spans="1:45" x14ac:dyDescent="0.2">
      <c r="A319" s="11"/>
      <c r="B319" s="11"/>
      <c r="C319" s="11"/>
      <c r="D319" s="11"/>
      <c r="E319" s="11"/>
      <c r="F319" s="11"/>
      <c r="G319" s="12"/>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3" t="str">
        <f t="shared" si="12"/>
        <v/>
      </c>
      <c r="AL319" s="11"/>
      <c r="AM319" s="11" t="str">
        <f t="shared" si="13"/>
        <v/>
      </c>
      <c r="AN319" s="11"/>
      <c r="AO319" s="11"/>
      <c r="AP319" s="11"/>
      <c r="AQ319" s="12"/>
      <c r="AR319" s="12" t="str">
        <f t="shared" si="14"/>
        <v/>
      </c>
      <c r="AS319" s="11"/>
    </row>
    <row r="320" spans="1:45" x14ac:dyDescent="0.2">
      <c r="A320" s="11"/>
      <c r="B320" s="11"/>
      <c r="C320" s="11"/>
      <c r="D320" s="11"/>
      <c r="E320" s="11"/>
      <c r="F320" s="11"/>
      <c r="G320" s="12"/>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3" t="str">
        <f t="shared" si="12"/>
        <v/>
      </c>
      <c r="AL320" s="11"/>
      <c r="AM320" s="11" t="str">
        <f t="shared" si="13"/>
        <v/>
      </c>
      <c r="AN320" s="11"/>
      <c r="AO320" s="11"/>
      <c r="AP320" s="11"/>
      <c r="AQ320" s="12"/>
      <c r="AR320" s="12" t="str">
        <f t="shared" si="14"/>
        <v/>
      </c>
      <c r="AS320" s="11"/>
    </row>
    <row r="321" spans="1:45" x14ac:dyDescent="0.2">
      <c r="A321" s="11"/>
      <c r="B321" s="11"/>
      <c r="C321" s="11"/>
      <c r="D321" s="11"/>
      <c r="E321" s="11"/>
      <c r="F321" s="11"/>
      <c r="G321" s="12"/>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3" t="str">
        <f t="shared" si="12"/>
        <v/>
      </c>
      <c r="AL321" s="11"/>
      <c r="AM321" s="11" t="str">
        <f t="shared" si="13"/>
        <v/>
      </c>
      <c r="AN321" s="11"/>
      <c r="AO321" s="11"/>
      <c r="AP321" s="11"/>
      <c r="AQ321" s="12"/>
      <c r="AR321" s="12" t="str">
        <f t="shared" si="14"/>
        <v/>
      </c>
      <c r="AS321" s="11"/>
    </row>
    <row r="322" spans="1:45" x14ac:dyDescent="0.2">
      <c r="A322" s="11"/>
      <c r="B322" s="11"/>
      <c r="C322" s="11"/>
      <c r="D322" s="11"/>
      <c r="E322" s="11"/>
      <c r="F322" s="11"/>
      <c r="G322" s="12"/>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3" t="str">
        <f t="shared" si="12"/>
        <v/>
      </c>
      <c r="AL322" s="11"/>
      <c r="AM322" s="11" t="str">
        <f t="shared" si="13"/>
        <v/>
      </c>
      <c r="AN322" s="11"/>
      <c r="AO322" s="11"/>
      <c r="AP322" s="11"/>
      <c r="AQ322" s="12"/>
      <c r="AR322" s="12" t="str">
        <f t="shared" si="14"/>
        <v/>
      </c>
      <c r="AS322" s="11"/>
    </row>
    <row r="323" spans="1:45" x14ac:dyDescent="0.2">
      <c r="A323" s="11"/>
      <c r="B323" s="11"/>
      <c r="C323" s="11"/>
      <c r="D323" s="11"/>
      <c r="E323" s="11"/>
      <c r="F323" s="11"/>
      <c r="G323" s="12"/>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3" t="str">
        <f t="shared" si="12"/>
        <v/>
      </c>
      <c r="AL323" s="11"/>
      <c r="AM323" s="11" t="str">
        <f t="shared" si="13"/>
        <v/>
      </c>
      <c r="AN323" s="11"/>
      <c r="AO323" s="11"/>
      <c r="AP323" s="11"/>
      <c r="AQ323" s="12"/>
      <c r="AR323" s="12" t="str">
        <f t="shared" si="14"/>
        <v/>
      </c>
      <c r="AS323" s="11"/>
    </row>
    <row r="324" spans="1:45" x14ac:dyDescent="0.2">
      <c r="A324" s="11"/>
      <c r="B324" s="11"/>
      <c r="C324" s="11"/>
      <c r="D324" s="11"/>
      <c r="E324" s="11"/>
      <c r="F324" s="11"/>
      <c r="G324" s="12"/>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3" t="str">
        <f t="shared" si="12"/>
        <v/>
      </c>
      <c r="AL324" s="11"/>
      <c r="AM324" s="11" t="str">
        <f t="shared" si="13"/>
        <v/>
      </c>
      <c r="AN324" s="11"/>
      <c r="AO324" s="11"/>
      <c r="AP324" s="11"/>
      <c r="AQ324" s="12"/>
      <c r="AR324" s="12" t="str">
        <f t="shared" si="14"/>
        <v/>
      </c>
      <c r="AS324" s="11"/>
    </row>
    <row r="325" spans="1:45" x14ac:dyDescent="0.2">
      <c r="A325" s="11"/>
      <c r="B325" s="11"/>
      <c r="C325" s="11"/>
      <c r="D325" s="11"/>
      <c r="E325" s="11"/>
      <c r="F325" s="11"/>
      <c r="G325" s="12"/>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3" t="str">
        <f t="shared" ref="AK325:AK388" si="15">IF(C325="","",(B325="")+(C325="")+(D325="")+(E325="")+(F325="")+(H325="")+(I325="")+(J325="")+(L325="")+(M325="")+(Q325="")+(S325="")+(T325="")+(U325="")+(V325="")+(W325="")+(Y325="")+(Z325="")+(AB325="")+(AD325="")+(AE325="")+(AF325="")+(AI325=""))</f>
        <v/>
      </c>
      <c r="AL325" s="11"/>
      <c r="AM325" s="11" t="str">
        <f t="shared" ref="AM325:AM388" si="16">IF(C325="","",IF(OR(T325="Yes",W325="Yes",Y325="Yes",AE325="Yes",AF325="Fully automated"),"Review for High","-"))</f>
        <v/>
      </c>
      <c r="AN325" s="11"/>
      <c r="AO325" s="11"/>
      <c r="AP325" s="11"/>
      <c r="AQ325" s="12"/>
      <c r="AR325" s="12" t="str">
        <f t="shared" ref="AR325:AR388" si="17">IF(OR(AN325="",AQ325=""),"",IF(AN325="High",EDATE(AQ325,3),IF(AN325="Medium",EDATE(AQ325,12),"On material change")))</f>
        <v/>
      </c>
      <c r="AS325" s="11"/>
    </row>
    <row r="326" spans="1:45" x14ac:dyDescent="0.2">
      <c r="A326" s="11"/>
      <c r="B326" s="11"/>
      <c r="C326" s="11"/>
      <c r="D326" s="11"/>
      <c r="E326" s="11"/>
      <c r="F326" s="11"/>
      <c r="G326" s="12"/>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3" t="str">
        <f t="shared" si="15"/>
        <v/>
      </c>
      <c r="AL326" s="11"/>
      <c r="AM326" s="11" t="str">
        <f t="shared" si="16"/>
        <v/>
      </c>
      <c r="AN326" s="11"/>
      <c r="AO326" s="11"/>
      <c r="AP326" s="11"/>
      <c r="AQ326" s="12"/>
      <c r="AR326" s="12" t="str">
        <f t="shared" si="17"/>
        <v/>
      </c>
      <c r="AS326" s="11"/>
    </row>
    <row r="327" spans="1:45" x14ac:dyDescent="0.2">
      <c r="A327" s="11"/>
      <c r="B327" s="11"/>
      <c r="C327" s="11"/>
      <c r="D327" s="11"/>
      <c r="E327" s="11"/>
      <c r="F327" s="11"/>
      <c r="G327" s="12"/>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3" t="str">
        <f t="shared" si="15"/>
        <v/>
      </c>
      <c r="AL327" s="11"/>
      <c r="AM327" s="11" t="str">
        <f t="shared" si="16"/>
        <v/>
      </c>
      <c r="AN327" s="11"/>
      <c r="AO327" s="11"/>
      <c r="AP327" s="11"/>
      <c r="AQ327" s="12"/>
      <c r="AR327" s="12" t="str">
        <f t="shared" si="17"/>
        <v/>
      </c>
      <c r="AS327" s="11"/>
    </row>
    <row r="328" spans="1:45" x14ac:dyDescent="0.2">
      <c r="A328" s="11"/>
      <c r="B328" s="11"/>
      <c r="C328" s="11"/>
      <c r="D328" s="11"/>
      <c r="E328" s="11"/>
      <c r="F328" s="11"/>
      <c r="G328" s="12"/>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3" t="str">
        <f t="shared" si="15"/>
        <v/>
      </c>
      <c r="AL328" s="11"/>
      <c r="AM328" s="11" t="str">
        <f t="shared" si="16"/>
        <v/>
      </c>
      <c r="AN328" s="11"/>
      <c r="AO328" s="11"/>
      <c r="AP328" s="11"/>
      <c r="AQ328" s="12"/>
      <c r="AR328" s="12" t="str">
        <f t="shared" si="17"/>
        <v/>
      </c>
      <c r="AS328" s="11"/>
    </row>
    <row r="329" spans="1:45" x14ac:dyDescent="0.2">
      <c r="A329" s="11"/>
      <c r="B329" s="11"/>
      <c r="C329" s="11"/>
      <c r="D329" s="11"/>
      <c r="E329" s="11"/>
      <c r="F329" s="11"/>
      <c r="G329" s="12"/>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3" t="str">
        <f t="shared" si="15"/>
        <v/>
      </c>
      <c r="AL329" s="11"/>
      <c r="AM329" s="11" t="str">
        <f t="shared" si="16"/>
        <v/>
      </c>
      <c r="AN329" s="11"/>
      <c r="AO329" s="11"/>
      <c r="AP329" s="11"/>
      <c r="AQ329" s="12"/>
      <c r="AR329" s="12" t="str">
        <f t="shared" si="17"/>
        <v/>
      </c>
      <c r="AS329" s="11"/>
    </row>
    <row r="330" spans="1:45" x14ac:dyDescent="0.2">
      <c r="A330" s="11"/>
      <c r="B330" s="11"/>
      <c r="C330" s="11"/>
      <c r="D330" s="11"/>
      <c r="E330" s="11"/>
      <c r="F330" s="11"/>
      <c r="G330" s="12"/>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3" t="str">
        <f t="shared" si="15"/>
        <v/>
      </c>
      <c r="AL330" s="11"/>
      <c r="AM330" s="11" t="str">
        <f t="shared" si="16"/>
        <v/>
      </c>
      <c r="AN330" s="11"/>
      <c r="AO330" s="11"/>
      <c r="AP330" s="11"/>
      <c r="AQ330" s="12"/>
      <c r="AR330" s="12" t="str">
        <f t="shared" si="17"/>
        <v/>
      </c>
      <c r="AS330" s="11"/>
    </row>
    <row r="331" spans="1:45" x14ac:dyDescent="0.2">
      <c r="A331" s="11"/>
      <c r="B331" s="11"/>
      <c r="C331" s="11"/>
      <c r="D331" s="11"/>
      <c r="E331" s="11"/>
      <c r="F331" s="11"/>
      <c r="G331" s="12"/>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3" t="str">
        <f t="shared" si="15"/>
        <v/>
      </c>
      <c r="AL331" s="11"/>
      <c r="AM331" s="11" t="str">
        <f t="shared" si="16"/>
        <v/>
      </c>
      <c r="AN331" s="11"/>
      <c r="AO331" s="11"/>
      <c r="AP331" s="11"/>
      <c r="AQ331" s="12"/>
      <c r="AR331" s="12" t="str">
        <f t="shared" si="17"/>
        <v/>
      </c>
      <c r="AS331" s="11"/>
    </row>
    <row r="332" spans="1:45" x14ac:dyDescent="0.2">
      <c r="A332" s="11"/>
      <c r="B332" s="11"/>
      <c r="C332" s="11"/>
      <c r="D332" s="11"/>
      <c r="E332" s="11"/>
      <c r="F332" s="11"/>
      <c r="G332" s="12"/>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3" t="str">
        <f t="shared" si="15"/>
        <v/>
      </c>
      <c r="AL332" s="11"/>
      <c r="AM332" s="11" t="str">
        <f t="shared" si="16"/>
        <v/>
      </c>
      <c r="AN332" s="11"/>
      <c r="AO332" s="11"/>
      <c r="AP332" s="11"/>
      <c r="AQ332" s="12"/>
      <c r="AR332" s="12" t="str">
        <f t="shared" si="17"/>
        <v/>
      </c>
      <c r="AS332" s="11"/>
    </row>
    <row r="333" spans="1:45" x14ac:dyDescent="0.2">
      <c r="A333" s="11"/>
      <c r="B333" s="11"/>
      <c r="C333" s="11"/>
      <c r="D333" s="11"/>
      <c r="E333" s="11"/>
      <c r="F333" s="11"/>
      <c r="G333" s="12"/>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3" t="str">
        <f t="shared" si="15"/>
        <v/>
      </c>
      <c r="AL333" s="11"/>
      <c r="AM333" s="11" t="str">
        <f t="shared" si="16"/>
        <v/>
      </c>
      <c r="AN333" s="11"/>
      <c r="AO333" s="11"/>
      <c r="AP333" s="11"/>
      <c r="AQ333" s="12"/>
      <c r="AR333" s="12" t="str">
        <f t="shared" si="17"/>
        <v/>
      </c>
      <c r="AS333" s="11"/>
    </row>
    <row r="334" spans="1:45" x14ac:dyDescent="0.2">
      <c r="A334" s="11"/>
      <c r="B334" s="11"/>
      <c r="C334" s="11"/>
      <c r="D334" s="11"/>
      <c r="E334" s="11"/>
      <c r="F334" s="11"/>
      <c r="G334" s="12"/>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3" t="str">
        <f t="shared" si="15"/>
        <v/>
      </c>
      <c r="AL334" s="11"/>
      <c r="AM334" s="11" t="str">
        <f t="shared" si="16"/>
        <v/>
      </c>
      <c r="AN334" s="11"/>
      <c r="AO334" s="11"/>
      <c r="AP334" s="11"/>
      <c r="AQ334" s="12"/>
      <c r="AR334" s="12" t="str">
        <f t="shared" si="17"/>
        <v/>
      </c>
      <c r="AS334" s="11"/>
    </row>
    <row r="335" spans="1:45" x14ac:dyDescent="0.2">
      <c r="A335" s="11"/>
      <c r="B335" s="11"/>
      <c r="C335" s="11"/>
      <c r="D335" s="11"/>
      <c r="E335" s="11"/>
      <c r="F335" s="11"/>
      <c r="G335" s="12"/>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3" t="str">
        <f t="shared" si="15"/>
        <v/>
      </c>
      <c r="AL335" s="11"/>
      <c r="AM335" s="11" t="str">
        <f t="shared" si="16"/>
        <v/>
      </c>
      <c r="AN335" s="11"/>
      <c r="AO335" s="11"/>
      <c r="AP335" s="11"/>
      <c r="AQ335" s="12"/>
      <c r="AR335" s="12" t="str">
        <f t="shared" si="17"/>
        <v/>
      </c>
      <c r="AS335" s="11"/>
    </row>
    <row r="336" spans="1:45" x14ac:dyDescent="0.2">
      <c r="A336" s="11"/>
      <c r="B336" s="11"/>
      <c r="C336" s="11"/>
      <c r="D336" s="11"/>
      <c r="E336" s="11"/>
      <c r="F336" s="11"/>
      <c r="G336" s="12"/>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3" t="str">
        <f t="shared" si="15"/>
        <v/>
      </c>
      <c r="AL336" s="11"/>
      <c r="AM336" s="11" t="str">
        <f t="shared" si="16"/>
        <v/>
      </c>
      <c r="AN336" s="11"/>
      <c r="AO336" s="11"/>
      <c r="AP336" s="11"/>
      <c r="AQ336" s="12"/>
      <c r="AR336" s="12" t="str">
        <f t="shared" si="17"/>
        <v/>
      </c>
      <c r="AS336" s="11"/>
    </row>
    <row r="337" spans="1:45" x14ac:dyDescent="0.2">
      <c r="A337" s="11"/>
      <c r="B337" s="11"/>
      <c r="C337" s="11"/>
      <c r="D337" s="11"/>
      <c r="E337" s="11"/>
      <c r="F337" s="11"/>
      <c r="G337" s="12"/>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3" t="str">
        <f t="shared" si="15"/>
        <v/>
      </c>
      <c r="AL337" s="11"/>
      <c r="AM337" s="11" t="str">
        <f t="shared" si="16"/>
        <v/>
      </c>
      <c r="AN337" s="11"/>
      <c r="AO337" s="11"/>
      <c r="AP337" s="11"/>
      <c r="AQ337" s="12"/>
      <c r="AR337" s="12" t="str">
        <f t="shared" si="17"/>
        <v/>
      </c>
      <c r="AS337" s="11"/>
    </row>
    <row r="338" spans="1:45" x14ac:dyDescent="0.2">
      <c r="A338" s="11"/>
      <c r="B338" s="11"/>
      <c r="C338" s="11"/>
      <c r="D338" s="11"/>
      <c r="E338" s="11"/>
      <c r="F338" s="11"/>
      <c r="G338" s="12"/>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3" t="str">
        <f t="shared" si="15"/>
        <v/>
      </c>
      <c r="AL338" s="11"/>
      <c r="AM338" s="11" t="str">
        <f t="shared" si="16"/>
        <v/>
      </c>
      <c r="AN338" s="11"/>
      <c r="AO338" s="11"/>
      <c r="AP338" s="11"/>
      <c r="AQ338" s="12"/>
      <c r="AR338" s="12" t="str">
        <f t="shared" si="17"/>
        <v/>
      </c>
      <c r="AS338" s="11"/>
    </row>
    <row r="339" spans="1:45" x14ac:dyDescent="0.2">
      <c r="A339" s="11"/>
      <c r="B339" s="11"/>
      <c r="C339" s="11"/>
      <c r="D339" s="11"/>
      <c r="E339" s="11"/>
      <c r="F339" s="11"/>
      <c r="G339" s="12"/>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3" t="str">
        <f t="shared" si="15"/>
        <v/>
      </c>
      <c r="AL339" s="11"/>
      <c r="AM339" s="11" t="str">
        <f t="shared" si="16"/>
        <v/>
      </c>
      <c r="AN339" s="11"/>
      <c r="AO339" s="11"/>
      <c r="AP339" s="11"/>
      <c r="AQ339" s="12"/>
      <c r="AR339" s="12" t="str">
        <f t="shared" si="17"/>
        <v/>
      </c>
      <c r="AS339" s="11"/>
    </row>
    <row r="340" spans="1:45" x14ac:dyDescent="0.2">
      <c r="A340" s="11"/>
      <c r="B340" s="11"/>
      <c r="C340" s="11"/>
      <c r="D340" s="11"/>
      <c r="E340" s="11"/>
      <c r="F340" s="11"/>
      <c r="G340" s="12"/>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3" t="str">
        <f t="shared" si="15"/>
        <v/>
      </c>
      <c r="AL340" s="11"/>
      <c r="AM340" s="11" t="str">
        <f t="shared" si="16"/>
        <v/>
      </c>
      <c r="AN340" s="11"/>
      <c r="AO340" s="11"/>
      <c r="AP340" s="11"/>
      <c r="AQ340" s="12"/>
      <c r="AR340" s="12" t="str">
        <f t="shared" si="17"/>
        <v/>
      </c>
      <c r="AS340" s="11"/>
    </row>
    <row r="341" spans="1:45" x14ac:dyDescent="0.2">
      <c r="A341" s="11"/>
      <c r="B341" s="11"/>
      <c r="C341" s="11"/>
      <c r="D341" s="11"/>
      <c r="E341" s="11"/>
      <c r="F341" s="11"/>
      <c r="G341" s="12"/>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3" t="str">
        <f t="shared" si="15"/>
        <v/>
      </c>
      <c r="AL341" s="11"/>
      <c r="AM341" s="11" t="str">
        <f t="shared" si="16"/>
        <v/>
      </c>
      <c r="AN341" s="11"/>
      <c r="AO341" s="11"/>
      <c r="AP341" s="11"/>
      <c r="AQ341" s="12"/>
      <c r="AR341" s="12" t="str">
        <f t="shared" si="17"/>
        <v/>
      </c>
      <c r="AS341" s="11"/>
    </row>
    <row r="342" spans="1:45" x14ac:dyDescent="0.2">
      <c r="A342" s="11"/>
      <c r="B342" s="11"/>
      <c r="C342" s="11"/>
      <c r="D342" s="11"/>
      <c r="E342" s="11"/>
      <c r="F342" s="11"/>
      <c r="G342" s="12"/>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3" t="str">
        <f t="shared" si="15"/>
        <v/>
      </c>
      <c r="AL342" s="11"/>
      <c r="AM342" s="11" t="str">
        <f t="shared" si="16"/>
        <v/>
      </c>
      <c r="AN342" s="11"/>
      <c r="AO342" s="11"/>
      <c r="AP342" s="11"/>
      <c r="AQ342" s="12"/>
      <c r="AR342" s="12" t="str">
        <f t="shared" si="17"/>
        <v/>
      </c>
      <c r="AS342" s="11"/>
    </row>
    <row r="343" spans="1:45" x14ac:dyDescent="0.2">
      <c r="A343" s="11"/>
      <c r="B343" s="11"/>
      <c r="C343" s="11"/>
      <c r="D343" s="11"/>
      <c r="E343" s="11"/>
      <c r="F343" s="11"/>
      <c r="G343" s="12"/>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3" t="str">
        <f t="shared" si="15"/>
        <v/>
      </c>
      <c r="AL343" s="11"/>
      <c r="AM343" s="11" t="str">
        <f t="shared" si="16"/>
        <v/>
      </c>
      <c r="AN343" s="11"/>
      <c r="AO343" s="11"/>
      <c r="AP343" s="11"/>
      <c r="AQ343" s="12"/>
      <c r="AR343" s="12" t="str">
        <f t="shared" si="17"/>
        <v/>
      </c>
      <c r="AS343" s="11"/>
    </row>
    <row r="344" spans="1:45" x14ac:dyDescent="0.2">
      <c r="A344" s="11"/>
      <c r="B344" s="11"/>
      <c r="C344" s="11"/>
      <c r="D344" s="11"/>
      <c r="E344" s="11"/>
      <c r="F344" s="11"/>
      <c r="G344" s="12"/>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3" t="str">
        <f t="shared" si="15"/>
        <v/>
      </c>
      <c r="AL344" s="11"/>
      <c r="AM344" s="11" t="str">
        <f t="shared" si="16"/>
        <v/>
      </c>
      <c r="AN344" s="11"/>
      <c r="AO344" s="11"/>
      <c r="AP344" s="11"/>
      <c r="AQ344" s="12"/>
      <c r="AR344" s="12" t="str">
        <f t="shared" si="17"/>
        <v/>
      </c>
      <c r="AS344" s="11"/>
    </row>
    <row r="345" spans="1:45" x14ac:dyDescent="0.2">
      <c r="A345" s="11"/>
      <c r="B345" s="11"/>
      <c r="C345" s="11"/>
      <c r="D345" s="11"/>
      <c r="E345" s="11"/>
      <c r="F345" s="11"/>
      <c r="G345" s="12"/>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3" t="str">
        <f t="shared" si="15"/>
        <v/>
      </c>
      <c r="AL345" s="11"/>
      <c r="AM345" s="11" t="str">
        <f t="shared" si="16"/>
        <v/>
      </c>
      <c r="AN345" s="11"/>
      <c r="AO345" s="11"/>
      <c r="AP345" s="11"/>
      <c r="AQ345" s="12"/>
      <c r="AR345" s="12" t="str">
        <f t="shared" si="17"/>
        <v/>
      </c>
      <c r="AS345" s="11"/>
    </row>
    <row r="346" spans="1:45" x14ac:dyDescent="0.2">
      <c r="A346" s="11"/>
      <c r="B346" s="11"/>
      <c r="C346" s="11"/>
      <c r="D346" s="11"/>
      <c r="E346" s="11"/>
      <c r="F346" s="11"/>
      <c r="G346" s="12"/>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3" t="str">
        <f t="shared" si="15"/>
        <v/>
      </c>
      <c r="AL346" s="11"/>
      <c r="AM346" s="11" t="str">
        <f t="shared" si="16"/>
        <v/>
      </c>
      <c r="AN346" s="11"/>
      <c r="AO346" s="11"/>
      <c r="AP346" s="11"/>
      <c r="AQ346" s="12"/>
      <c r="AR346" s="12" t="str">
        <f t="shared" si="17"/>
        <v/>
      </c>
      <c r="AS346" s="11"/>
    </row>
    <row r="347" spans="1:45" x14ac:dyDescent="0.2">
      <c r="A347" s="11"/>
      <c r="B347" s="11"/>
      <c r="C347" s="11"/>
      <c r="D347" s="11"/>
      <c r="E347" s="11"/>
      <c r="F347" s="11"/>
      <c r="G347" s="12"/>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3" t="str">
        <f t="shared" si="15"/>
        <v/>
      </c>
      <c r="AL347" s="11"/>
      <c r="AM347" s="11" t="str">
        <f t="shared" si="16"/>
        <v/>
      </c>
      <c r="AN347" s="11"/>
      <c r="AO347" s="11"/>
      <c r="AP347" s="11"/>
      <c r="AQ347" s="12"/>
      <c r="AR347" s="12" t="str">
        <f t="shared" si="17"/>
        <v/>
      </c>
      <c r="AS347" s="11"/>
    </row>
    <row r="348" spans="1:45" x14ac:dyDescent="0.2">
      <c r="A348" s="11"/>
      <c r="B348" s="11"/>
      <c r="C348" s="11"/>
      <c r="D348" s="11"/>
      <c r="E348" s="11"/>
      <c r="F348" s="11"/>
      <c r="G348" s="12"/>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3" t="str">
        <f t="shared" si="15"/>
        <v/>
      </c>
      <c r="AL348" s="11"/>
      <c r="AM348" s="11" t="str">
        <f t="shared" si="16"/>
        <v/>
      </c>
      <c r="AN348" s="11"/>
      <c r="AO348" s="11"/>
      <c r="AP348" s="11"/>
      <c r="AQ348" s="12"/>
      <c r="AR348" s="12" t="str">
        <f t="shared" si="17"/>
        <v/>
      </c>
      <c r="AS348" s="11"/>
    </row>
    <row r="349" spans="1:45" x14ac:dyDescent="0.2">
      <c r="A349" s="11"/>
      <c r="B349" s="11"/>
      <c r="C349" s="11"/>
      <c r="D349" s="11"/>
      <c r="E349" s="11"/>
      <c r="F349" s="11"/>
      <c r="G349" s="12"/>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3" t="str">
        <f t="shared" si="15"/>
        <v/>
      </c>
      <c r="AL349" s="11"/>
      <c r="AM349" s="11" t="str">
        <f t="shared" si="16"/>
        <v/>
      </c>
      <c r="AN349" s="11"/>
      <c r="AO349" s="11"/>
      <c r="AP349" s="11"/>
      <c r="AQ349" s="12"/>
      <c r="AR349" s="12" t="str">
        <f t="shared" si="17"/>
        <v/>
      </c>
      <c r="AS349" s="11"/>
    </row>
    <row r="350" spans="1:45" x14ac:dyDescent="0.2">
      <c r="A350" s="11"/>
      <c r="B350" s="11"/>
      <c r="C350" s="11"/>
      <c r="D350" s="11"/>
      <c r="E350" s="11"/>
      <c r="F350" s="11"/>
      <c r="G350" s="12"/>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3" t="str">
        <f t="shared" si="15"/>
        <v/>
      </c>
      <c r="AL350" s="11"/>
      <c r="AM350" s="11" t="str">
        <f t="shared" si="16"/>
        <v/>
      </c>
      <c r="AN350" s="11"/>
      <c r="AO350" s="11"/>
      <c r="AP350" s="11"/>
      <c r="AQ350" s="12"/>
      <c r="AR350" s="12" t="str">
        <f t="shared" si="17"/>
        <v/>
      </c>
      <c r="AS350" s="11"/>
    </row>
    <row r="351" spans="1:45" x14ac:dyDescent="0.2">
      <c r="A351" s="11"/>
      <c r="B351" s="11"/>
      <c r="C351" s="11"/>
      <c r="D351" s="11"/>
      <c r="E351" s="11"/>
      <c r="F351" s="11"/>
      <c r="G351" s="12"/>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3" t="str">
        <f t="shared" si="15"/>
        <v/>
      </c>
      <c r="AL351" s="11"/>
      <c r="AM351" s="11" t="str">
        <f t="shared" si="16"/>
        <v/>
      </c>
      <c r="AN351" s="11"/>
      <c r="AO351" s="11"/>
      <c r="AP351" s="11"/>
      <c r="AQ351" s="12"/>
      <c r="AR351" s="12" t="str">
        <f t="shared" si="17"/>
        <v/>
      </c>
      <c r="AS351" s="11"/>
    </row>
    <row r="352" spans="1:45" x14ac:dyDescent="0.2">
      <c r="A352" s="11"/>
      <c r="B352" s="11"/>
      <c r="C352" s="11"/>
      <c r="D352" s="11"/>
      <c r="E352" s="11"/>
      <c r="F352" s="11"/>
      <c r="G352" s="12"/>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3" t="str">
        <f t="shared" si="15"/>
        <v/>
      </c>
      <c r="AL352" s="11"/>
      <c r="AM352" s="11" t="str">
        <f t="shared" si="16"/>
        <v/>
      </c>
      <c r="AN352" s="11"/>
      <c r="AO352" s="11"/>
      <c r="AP352" s="11"/>
      <c r="AQ352" s="12"/>
      <c r="AR352" s="12" t="str">
        <f t="shared" si="17"/>
        <v/>
      </c>
      <c r="AS352" s="11"/>
    </row>
    <row r="353" spans="1:45" x14ac:dyDescent="0.2">
      <c r="A353" s="11"/>
      <c r="B353" s="11"/>
      <c r="C353" s="11"/>
      <c r="D353" s="11"/>
      <c r="E353" s="11"/>
      <c r="F353" s="11"/>
      <c r="G353" s="12"/>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3" t="str">
        <f t="shared" si="15"/>
        <v/>
      </c>
      <c r="AL353" s="11"/>
      <c r="AM353" s="11" t="str">
        <f t="shared" si="16"/>
        <v/>
      </c>
      <c r="AN353" s="11"/>
      <c r="AO353" s="11"/>
      <c r="AP353" s="11"/>
      <c r="AQ353" s="12"/>
      <c r="AR353" s="12" t="str">
        <f t="shared" si="17"/>
        <v/>
      </c>
      <c r="AS353" s="11"/>
    </row>
    <row r="354" spans="1:45" x14ac:dyDescent="0.2">
      <c r="A354" s="11"/>
      <c r="B354" s="11"/>
      <c r="C354" s="11"/>
      <c r="D354" s="11"/>
      <c r="E354" s="11"/>
      <c r="F354" s="11"/>
      <c r="G354" s="12"/>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3" t="str">
        <f t="shared" si="15"/>
        <v/>
      </c>
      <c r="AL354" s="11"/>
      <c r="AM354" s="11" t="str">
        <f t="shared" si="16"/>
        <v/>
      </c>
      <c r="AN354" s="11"/>
      <c r="AO354" s="11"/>
      <c r="AP354" s="11"/>
      <c r="AQ354" s="12"/>
      <c r="AR354" s="12" t="str">
        <f t="shared" si="17"/>
        <v/>
      </c>
      <c r="AS354" s="11"/>
    </row>
    <row r="355" spans="1:45" x14ac:dyDescent="0.2">
      <c r="A355" s="11"/>
      <c r="B355" s="11"/>
      <c r="C355" s="11"/>
      <c r="D355" s="11"/>
      <c r="E355" s="11"/>
      <c r="F355" s="11"/>
      <c r="G355" s="12"/>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3" t="str">
        <f t="shared" si="15"/>
        <v/>
      </c>
      <c r="AL355" s="11"/>
      <c r="AM355" s="11" t="str">
        <f t="shared" si="16"/>
        <v/>
      </c>
      <c r="AN355" s="11"/>
      <c r="AO355" s="11"/>
      <c r="AP355" s="11"/>
      <c r="AQ355" s="12"/>
      <c r="AR355" s="12" t="str">
        <f t="shared" si="17"/>
        <v/>
      </c>
      <c r="AS355" s="11"/>
    </row>
    <row r="356" spans="1:45" x14ac:dyDescent="0.2">
      <c r="A356" s="11"/>
      <c r="B356" s="11"/>
      <c r="C356" s="11"/>
      <c r="D356" s="11"/>
      <c r="E356" s="11"/>
      <c r="F356" s="11"/>
      <c r="G356" s="12"/>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3" t="str">
        <f t="shared" si="15"/>
        <v/>
      </c>
      <c r="AL356" s="11"/>
      <c r="AM356" s="11" t="str">
        <f t="shared" si="16"/>
        <v/>
      </c>
      <c r="AN356" s="11"/>
      <c r="AO356" s="11"/>
      <c r="AP356" s="11"/>
      <c r="AQ356" s="12"/>
      <c r="AR356" s="12" t="str">
        <f t="shared" si="17"/>
        <v/>
      </c>
      <c r="AS356" s="11"/>
    </row>
    <row r="357" spans="1:45" x14ac:dyDescent="0.2">
      <c r="A357" s="11"/>
      <c r="B357" s="11"/>
      <c r="C357" s="11"/>
      <c r="D357" s="11"/>
      <c r="E357" s="11"/>
      <c r="F357" s="11"/>
      <c r="G357" s="12"/>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3" t="str">
        <f t="shared" si="15"/>
        <v/>
      </c>
      <c r="AL357" s="11"/>
      <c r="AM357" s="11" t="str">
        <f t="shared" si="16"/>
        <v/>
      </c>
      <c r="AN357" s="11"/>
      <c r="AO357" s="11"/>
      <c r="AP357" s="11"/>
      <c r="AQ357" s="12"/>
      <c r="AR357" s="12" t="str">
        <f t="shared" si="17"/>
        <v/>
      </c>
      <c r="AS357" s="11"/>
    </row>
    <row r="358" spans="1:45" x14ac:dyDescent="0.2">
      <c r="A358" s="11"/>
      <c r="B358" s="11"/>
      <c r="C358" s="11"/>
      <c r="D358" s="11"/>
      <c r="E358" s="11"/>
      <c r="F358" s="11"/>
      <c r="G358" s="12"/>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3" t="str">
        <f t="shared" si="15"/>
        <v/>
      </c>
      <c r="AL358" s="11"/>
      <c r="AM358" s="11" t="str">
        <f t="shared" si="16"/>
        <v/>
      </c>
      <c r="AN358" s="11"/>
      <c r="AO358" s="11"/>
      <c r="AP358" s="11"/>
      <c r="AQ358" s="12"/>
      <c r="AR358" s="12" t="str">
        <f t="shared" si="17"/>
        <v/>
      </c>
      <c r="AS358" s="11"/>
    </row>
    <row r="359" spans="1:45" x14ac:dyDescent="0.2">
      <c r="A359" s="11"/>
      <c r="B359" s="11"/>
      <c r="C359" s="11"/>
      <c r="D359" s="11"/>
      <c r="E359" s="11"/>
      <c r="F359" s="11"/>
      <c r="G359" s="12"/>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3" t="str">
        <f t="shared" si="15"/>
        <v/>
      </c>
      <c r="AL359" s="11"/>
      <c r="AM359" s="11" t="str">
        <f t="shared" si="16"/>
        <v/>
      </c>
      <c r="AN359" s="11"/>
      <c r="AO359" s="11"/>
      <c r="AP359" s="11"/>
      <c r="AQ359" s="12"/>
      <c r="AR359" s="12" t="str">
        <f t="shared" si="17"/>
        <v/>
      </c>
      <c r="AS359" s="11"/>
    </row>
    <row r="360" spans="1:45" x14ac:dyDescent="0.2">
      <c r="A360" s="11"/>
      <c r="B360" s="11"/>
      <c r="C360" s="11"/>
      <c r="D360" s="11"/>
      <c r="E360" s="11"/>
      <c r="F360" s="11"/>
      <c r="G360" s="12"/>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3" t="str">
        <f t="shared" si="15"/>
        <v/>
      </c>
      <c r="AL360" s="11"/>
      <c r="AM360" s="11" t="str">
        <f t="shared" si="16"/>
        <v/>
      </c>
      <c r="AN360" s="11"/>
      <c r="AO360" s="11"/>
      <c r="AP360" s="11"/>
      <c r="AQ360" s="12"/>
      <c r="AR360" s="12" t="str">
        <f t="shared" si="17"/>
        <v/>
      </c>
      <c r="AS360" s="11"/>
    </row>
    <row r="361" spans="1:45" x14ac:dyDescent="0.2">
      <c r="A361" s="11"/>
      <c r="B361" s="11"/>
      <c r="C361" s="11"/>
      <c r="D361" s="11"/>
      <c r="E361" s="11"/>
      <c r="F361" s="11"/>
      <c r="G361" s="12"/>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3" t="str">
        <f t="shared" si="15"/>
        <v/>
      </c>
      <c r="AL361" s="11"/>
      <c r="AM361" s="11" t="str">
        <f t="shared" si="16"/>
        <v/>
      </c>
      <c r="AN361" s="11"/>
      <c r="AO361" s="11"/>
      <c r="AP361" s="11"/>
      <c r="AQ361" s="12"/>
      <c r="AR361" s="12" t="str">
        <f t="shared" si="17"/>
        <v/>
      </c>
      <c r="AS361" s="11"/>
    </row>
    <row r="362" spans="1:45" x14ac:dyDescent="0.2">
      <c r="A362" s="11"/>
      <c r="B362" s="11"/>
      <c r="C362" s="11"/>
      <c r="D362" s="11"/>
      <c r="E362" s="11"/>
      <c r="F362" s="11"/>
      <c r="G362" s="12"/>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3" t="str">
        <f t="shared" si="15"/>
        <v/>
      </c>
      <c r="AL362" s="11"/>
      <c r="AM362" s="11" t="str">
        <f t="shared" si="16"/>
        <v/>
      </c>
      <c r="AN362" s="11"/>
      <c r="AO362" s="11"/>
      <c r="AP362" s="11"/>
      <c r="AQ362" s="12"/>
      <c r="AR362" s="12" t="str">
        <f t="shared" si="17"/>
        <v/>
      </c>
      <c r="AS362" s="11"/>
    </row>
    <row r="363" spans="1:45" x14ac:dyDescent="0.2">
      <c r="A363" s="11"/>
      <c r="B363" s="11"/>
      <c r="C363" s="11"/>
      <c r="D363" s="11"/>
      <c r="E363" s="11"/>
      <c r="F363" s="11"/>
      <c r="G363" s="12"/>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3" t="str">
        <f t="shared" si="15"/>
        <v/>
      </c>
      <c r="AL363" s="11"/>
      <c r="AM363" s="11" t="str">
        <f t="shared" si="16"/>
        <v/>
      </c>
      <c r="AN363" s="11"/>
      <c r="AO363" s="11"/>
      <c r="AP363" s="11"/>
      <c r="AQ363" s="12"/>
      <c r="AR363" s="12" t="str">
        <f t="shared" si="17"/>
        <v/>
      </c>
      <c r="AS363" s="11"/>
    </row>
    <row r="364" spans="1:45" x14ac:dyDescent="0.2">
      <c r="A364" s="11"/>
      <c r="B364" s="11"/>
      <c r="C364" s="11"/>
      <c r="D364" s="11"/>
      <c r="E364" s="11"/>
      <c r="F364" s="11"/>
      <c r="G364" s="12"/>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3" t="str">
        <f t="shared" si="15"/>
        <v/>
      </c>
      <c r="AL364" s="11"/>
      <c r="AM364" s="11" t="str">
        <f t="shared" si="16"/>
        <v/>
      </c>
      <c r="AN364" s="11"/>
      <c r="AO364" s="11"/>
      <c r="AP364" s="11"/>
      <c r="AQ364" s="12"/>
      <c r="AR364" s="12" t="str">
        <f t="shared" si="17"/>
        <v/>
      </c>
      <c r="AS364" s="11"/>
    </row>
    <row r="365" spans="1:45" x14ac:dyDescent="0.2">
      <c r="A365" s="11"/>
      <c r="B365" s="11"/>
      <c r="C365" s="11"/>
      <c r="D365" s="11"/>
      <c r="E365" s="11"/>
      <c r="F365" s="11"/>
      <c r="G365" s="12"/>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3" t="str">
        <f t="shared" si="15"/>
        <v/>
      </c>
      <c r="AL365" s="11"/>
      <c r="AM365" s="11" t="str">
        <f t="shared" si="16"/>
        <v/>
      </c>
      <c r="AN365" s="11"/>
      <c r="AO365" s="11"/>
      <c r="AP365" s="11"/>
      <c r="AQ365" s="12"/>
      <c r="AR365" s="12" t="str">
        <f t="shared" si="17"/>
        <v/>
      </c>
      <c r="AS365" s="11"/>
    </row>
    <row r="366" spans="1:45" x14ac:dyDescent="0.2">
      <c r="A366" s="11"/>
      <c r="B366" s="11"/>
      <c r="C366" s="11"/>
      <c r="D366" s="11"/>
      <c r="E366" s="11"/>
      <c r="F366" s="11"/>
      <c r="G366" s="12"/>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3" t="str">
        <f t="shared" si="15"/>
        <v/>
      </c>
      <c r="AL366" s="11"/>
      <c r="AM366" s="11" t="str">
        <f t="shared" si="16"/>
        <v/>
      </c>
      <c r="AN366" s="11"/>
      <c r="AO366" s="11"/>
      <c r="AP366" s="11"/>
      <c r="AQ366" s="12"/>
      <c r="AR366" s="12" t="str">
        <f t="shared" si="17"/>
        <v/>
      </c>
      <c r="AS366" s="11"/>
    </row>
    <row r="367" spans="1:45" x14ac:dyDescent="0.2">
      <c r="A367" s="11"/>
      <c r="B367" s="11"/>
      <c r="C367" s="11"/>
      <c r="D367" s="11"/>
      <c r="E367" s="11"/>
      <c r="F367" s="11"/>
      <c r="G367" s="12"/>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3" t="str">
        <f t="shared" si="15"/>
        <v/>
      </c>
      <c r="AL367" s="11"/>
      <c r="AM367" s="11" t="str">
        <f t="shared" si="16"/>
        <v/>
      </c>
      <c r="AN367" s="11"/>
      <c r="AO367" s="11"/>
      <c r="AP367" s="11"/>
      <c r="AQ367" s="12"/>
      <c r="AR367" s="12" t="str">
        <f t="shared" si="17"/>
        <v/>
      </c>
      <c r="AS367" s="11"/>
    </row>
    <row r="368" spans="1:45" x14ac:dyDescent="0.2">
      <c r="A368" s="11"/>
      <c r="B368" s="11"/>
      <c r="C368" s="11"/>
      <c r="D368" s="11"/>
      <c r="E368" s="11"/>
      <c r="F368" s="11"/>
      <c r="G368" s="12"/>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3" t="str">
        <f t="shared" si="15"/>
        <v/>
      </c>
      <c r="AL368" s="11"/>
      <c r="AM368" s="11" t="str">
        <f t="shared" si="16"/>
        <v/>
      </c>
      <c r="AN368" s="11"/>
      <c r="AO368" s="11"/>
      <c r="AP368" s="11"/>
      <c r="AQ368" s="12"/>
      <c r="AR368" s="12" t="str">
        <f t="shared" si="17"/>
        <v/>
      </c>
      <c r="AS368" s="11"/>
    </row>
    <row r="369" spans="1:45" x14ac:dyDescent="0.2">
      <c r="A369" s="11"/>
      <c r="B369" s="11"/>
      <c r="C369" s="11"/>
      <c r="D369" s="11"/>
      <c r="E369" s="11"/>
      <c r="F369" s="11"/>
      <c r="G369" s="12"/>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3" t="str">
        <f t="shared" si="15"/>
        <v/>
      </c>
      <c r="AL369" s="11"/>
      <c r="AM369" s="11" t="str">
        <f t="shared" si="16"/>
        <v/>
      </c>
      <c r="AN369" s="11"/>
      <c r="AO369" s="11"/>
      <c r="AP369" s="11"/>
      <c r="AQ369" s="12"/>
      <c r="AR369" s="12" t="str">
        <f t="shared" si="17"/>
        <v/>
      </c>
      <c r="AS369" s="11"/>
    </row>
    <row r="370" spans="1:45" x14ac:dyDescent="0.2">
      <c r="A370" s="11"/>
      <c r="B370" s="11"/>
      <c r="C370" s="11"/>
      <c r="D370" s="11"/>
      <c r="E370" s="11"/>
      <c r="F370" s="11"/>
      <c r="G370" s="12"/>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3" t="str">
        <f t="shared" si="15"/>
        <v/>
      </c>
      <c r="AL370" s="11"/>
      <c r="AM370" s="11" t="str">
        <f t="shared" si="16"/>
        <v/>
      </c>
      <c r="AN370" s="11"/>
      <c r="AO370" s="11"/>
      <c r="AP370" s="11"/>
      <c r="AQ370" s="12"/>
      <c r="AR370" s="12" t="str">
        <f t="shared" si="17"/>
        <v/>
      </c>
      <c r="AS370" s="11"/>
    </row>
    <row r="371" spans="1:45" x14ac:dyDescent="0.2">
      <c r="A371" s="11"/>
      <c r="B371" s="11"/>
      <c r="C371" s="11"/>
      <c r="D371" s="11"/>
      <c r="E371" s="11"/>
      <c r="F371" s="11"/>
      <c r="G371" s="12"/>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3" t="str">
        <f t="shared" si="15"/>
        <v/>
      </c>
      <c r="AL371" s="11"/>
      <c r="AM371" s="11" t="str">
        <f t="shared" si="16"/>
        <v/>
      </c>
      <c r="AN371" s="11"/>
      <c r="AO371" s="11"/>
      <c r="AP371" s="11"/>
      <c r="AQ371" s="12"/>
      <c r="AR371" s="12" t="str">
        <f t="shared" si="17"/>
        <v/>
      </c>
      <c r="AS371" s="11"/>
    </row>
    <row r="372" spans="1:45" x14ac:dyDescent="0.2">
      <c r="A372" s="11"/>
      <c r="B372" s="11"/>
      <c r="C372" s="11"/>
      <c r="D372" s="11"/>
      <c r="E372" s="11"/>
      <c r="F372" s="11"/>
      <c r="G372" s="12"/>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3" t="str">
        <f t="shared" si="15"/>
        <v/>
      </c>
      <c r="AL372" s="11"/>
      <c r="AM372" s="11" t="str">
        <f t="shared" si="16"/>
        <v/>
      </c>
      <c r="AN372" s="11"/>
      <c r="AO372" s="11"/>
      <c r="AP372" s="11"/>
      <c r="AQ372" s="12"/>
      <c r="AR372" s="12" t="str">
        <f t="shared" si="17"/>
        <v/>
      </c>
      <c r="AS372" s="11"/>
    </row>
    <row r="373" spans="1:45" x14ac:dyDescent="0.2">
      <c r="A373" s="11"/>
      <c r="B373" s="11"/>
      <c r="C373" s="11"/>
      <c r="D373" s="11"/>
      <c r="E373" s="11"/>
      <c r="F373" s="11"/>
      <c r="G373" s="12"/>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3" t="str">
        <f t="shared" si="15"/>
        <v/>
      </c>
      <c r="AL373" s="11"/>
      <c r="AM373" s="11" t="str">
        <f t="shared" si="16"/>
        <v/>
      </c>
      <c r="AN373" s="11"/>
      <c r="AO373" s="11"/>
      <c r="AP373" s="11"/>
      <c r="AQ373" s="12"/>
      <c r="AR373" s="12" t="str">
        <f t="shared" si="17"/>
        <v/>
      </c>
      <c r="AS373" s="11"/>
    </row>
    <row r="374" spans="1:45" x14ac:dyDescent="0.2">
      <c r="A374" s="11"/>
      <c r="B374" s="11"/>
      <c r="C374" s="11"/>
      <c r="D374" s="11"/>
      <c r="E374" s="11"/>
      <c r="F374" s="11"/>
      <c r="G374" s="12"/>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3" t="str">
        <f t="shared" si="15"/>
        <v/>
      </c>
      <c r="AL374" s="11"/>
      <c r="AM374" s="11" t="str">
        <f t="shared" si="16"/>
        <v/>
      </c>
      <c r="AN374" s="11"/>
      <c r="AO374" s="11"/>
      <c r="AP374" s="11"/>
      <c r="AQ374" s="12"/>
      <c r="AR374" s="12" t="str">
        <f t="shared" si="17"/>
        <v/>
      </c>
      <c r="AS374" s="11"/>
    </row>
    <row r="375" spans="1:45" x14ac:dyDescent="0.2">
      <c r="A375" s="11"/>
      <c r="B375" s="11"/>
      <c r="C375" s="11"/>
      <c r="D375" s="11"/>
      <c r="E375" s="11"/>
      <c r="F375" s="11"/>
      <c r="G375" s="12"/>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3" t="str">
        <f t="shared" si="15"/>
        <v/>
      </c>
      <c r="AL375" s="11"/>
      <c r="AM375" s="11" t="str">
        <f t="shared" si="16"/>
        <v/>
      </c>
      <c r="AN375" s="11"/>
      <c r="AO375" s="11"/>
      <c r="AP375" s="11"/>
      <c r="AQ375" s="12"/>
      <c r="AR375" s="12" t="str">
        <f t="shared" si="17"/>
        <v/>
      </c>
      <c r="AS375" s="11"/>
    </row>
    <row r="376" spans="1:45" x14ac:dyDescent="0.2">
      <c r="A376" s="11"/>
      <c r="B376" s="11"/>
      <c r="C376" s="11"/>
      <c r="D376" s="11"/>
      <c r="E376" s="11"/>
      <c r="F376" s="11"/>
      <c r="G376" s="12"/>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3" t="str">
        <f t="shared" si="15"/>
        <v/>
      </c>
      <c r="AL376" s="11"/>
      <c r="AM376" s="11" t="str">
        <f t="shared" si="16"/>
        <v/>
      </c>
      <c r="AN376" s="11"/>
      <c r="AO376" s="11"/>
      <c r="AP376" s="11"/>
      <c r="AQ376" s="12"/>
      <c r="AR376" s="12" t="str">
        <f t="shared" si="17"/>
        <v/>
      </c>
      <c r="AS376" s="11"/>
    </row>
    <row r="377" spans="1:45" x14ac:dyDescent="0.2">
      <c r="A377" s="11"/>
      <c r="B377" s="11"/>
      <c r="C377" s="11"/>
      <c r="D377" s="11"/>
      <c r="E377" s="11"/>
      <c r="F377" s="11"/>
      <c r="G377" s="12"/>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3" t="str">
        <f t="shared" si="15"/>
        <v/>
      </c>
      <c r="AL377" s="11"/>
      <c r="AM377" s="11" t="str">
        <f t="shared" si="16"/>
        <v/>
      </c>
      <c r="AN377" s="11"/>
      <c r="AO377" s="11"/>
      <c r="AP377" s="11"/>
      <c r="AQ377" s="12"/>
      <c r="AR377" s="12" t="str">
        <f t="shared" si="17"/>
        <v/>
      </c>
      <c r="AS377" s="11"/>
    </row>
    <row r="378" spans="1:45" x14ac:dyDescent="0.2">
      <c r="A378" s="11"/>
      <c r="B378" s="11"/>
      <c r="C378" s="11"/>
      <c r="D378" s="11"/>
      <c r="E378" s="11"/>
      <c r="F378" s="11"/>
      <c r="G378" s="12"/>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3" t="str">
        <f t="shared" si="15"/>
        <v/>
      </c>
      <c r="AL378" s="11"/>
      <c r="AM378" s="11" t="str">
        <f t="shared" si="16"/>
        <v/>
      </c>
      <c r="AN378" s="11"/>
      <c r="AO378" s="11"/>
      <c r="AP378" s="11"/>
      <c r="AQ378" s="12"/>
      <c r="AR378" s="12" t="str">
        <f t="shared" si="17"/>
        <v/>
      </c>
      <c r="AS378" s="11"/>
    </row>
    <row r="379" spans="1:45" x14ac:dyDescent="0.2">
      <c r="A379" s="11"/>
      <c r="B379" s="11"/>
      <c r="C379" s="11"/>
      <c r="D379" s="11"/>
      <c r="E379" s="11"/>
      <c r="F379" s="11"/>
      <c r="G379" s="12"/>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3" t="str">
        <f t="shared" si="15"/>
        <v/>
      </c>
      <c r="AL379" s="11"/>
      <c r="AM379" s="11" t="str">
        <f t="shared" si="16"/>
        <v/>
      </c>
      <c r="AN379" s="11"/>
      <c r="AO379" s="11"/>
      <c r="AP379" s="11"/>
      <c r="AQ379" s="12"/>
      <c r="AR379" s="12" t="str">
        <f t="shared" si="17"/>
        <v/>
      </c>
      <c r="AS379" s="11"/>
    </row>
    <row r="380" spans="1:45" x14ac:dyDescent="0.2">
      <c r="A380" s="11"/>
      <c r="B380" s="11"/>
      <c r="C380" s="11"/>
      <c r="D380" s="11"/>
      <c r="E380" s="11"/>
      <c r="F380" s="11"/>
      <c r="G380" s="12"/>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3" t="str">
        <f t="shared" si="15"/>
        <v/>
      </c>
      <c r="AL380" s="11"/>
      <c r="AM380" s="11" t="str">
        <f t="shared" si="16"/>
        <v/>
      </c>
      <c r="AN380" s="11"/>
      <c r="AO380" s="11"/>
      <c r="AP380" s="11"/>
      <c r="AQ380" s="12"/>
      <c r="AR380" s="12" t="str">
        <f t="shared" si="17"/>
        <v/>
      </c>
      <c r="AS380" s="11"/>
    </row>
    <row r="381" spans="1:45" x14ac:dyDescent="0.2">
      <c r="A381" s="11"/>
      <c r="B381" s="11"/>
      <c r="C381" s="11"/>
      <c r="D381" s="11"/>
      <c r="E381" s="11"/>
      <c r="F381" s="11"/>
      <c r="G381" s="12"/>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3" t="str">
        <f t="shared" si="15"/>
        <v/>
      </c>
      <c r="AL381" s="11"/>
      <c r="AM381" s="11" t="str">
        <f t="shared" si="16"/>
        <v/>
      </c>
      <c r="AN381" s="11"/>
      <c r="AO381" s="11"/>
      <c r="AP381" s="11"/>
      <c r="AQ381" s="12"/>
      <c r="AR381" s="12" t="str">
        <f t="shared" si="17"/>
        <v/>
      </c>
      <c r="AS381" s="11"/>
    </row>
    <row r="382" spans="1:45" x14ac:dyDescent="0.2">
      <c r="A382" s="11"/>
      <c r="B382" s="11"/>
      <c r="C382" s="11"/>
      <c r="D382" s="11"/>
      <c r="E382" s="11"/>
      <c r="F382" s="11"/>
      <c r="G382" s="12"/>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3" t="str">
        <f t="shared" si="15"/>
        <v/>
      </c>
      <c r="AL382" s="11"/>
      <c r="AM382" s="11" t="str">
        <f t="shared" si="16"/>
        <v/>
      </c>
      <c r="AN382" s="11"/>
      <c r="AO382" s="11"/>
      <c r="AP382" s="11"/>
      <c r="AQ382" s="12"/>
      <c r="AR382" s="12" t="str">
        <f t="shared" si="17"/>
        <v/>
      </c>
      <c r="AS382" s="11"/>
    </row>
    <row r="383" spans="1:45" x14ac:dyDescent="0.2">
      <c r="A383" s="11"/>
      <c r="B383" s="11"/>
      <c r="C383" s="11"/>
      <c r="D383" s="11"/>
      <c r="E383" s="11"/>
      <c r="F383" s="11"/>
      <c r="G383" s="12"/>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3" t="str">
        <f t="shared" si="15"/>
        <v/>
      </c>
      <c r="AL383" s="11"/>
      <c r="AM383" s="11" t="str">
        <f t="shared" si="16"/>
        <v/>
      </c>
      <c r="AN383" s="11"/>
      <c r="AO383" s="11"/>
      <c r="AP383" s="11"/>
      <c r="AQ383" s="12"/>
      <c r="AR383" s="12" t="str">
        <f t="shared" si="17"/>
        <v/>
      </c>
      <c r="AS383" s="11"/>
    </row>
    <row r="384" spans="1:45" x14ac:dyDescent="0.2">
      <c r="A384" s="11"/>
      <c r="B384" s="11"/>
      <c r="C384" s="11"/>
      <c r="D384" s="11"/>
      <c r="E384" s="11"/>
      <c r="F384" s="11"/>
      <c r="G384" s="12"/>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3" t="str">
        <f t="shared" si="15"/>
        <v/>
      </c>
      <c r="AL384" s="11"/>
      <c r="AM384" s="11" t="str">
        <f t="shared" si="16"/>
        <v/>
      </c>
      <c r="AN384" s="11"/>
      <c r="AO384" s="11"/>
      <c r="AP384" s="11"/>
      <c r="AQ384" s="12"/>
      <c r="AR384" s="12" t="str">
        <f t="shared" si="17"/>
        <v/>
      </c>
      <c r="AS384" s="11"/>
    </row>
    <row r="385" spans="1:45" x14ac:dyDescent="0.2">
      <c r="A385" s="11"/>
      <c r="B385" s="11"/>
      <c r="C385" s="11"/>
      <c r="D385" s="11"/>
      <c r="E385" s="11"/>
      <c r="F385" s="11"/>
      <c r="G385" s="12"/>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3" t="str">
        <f t="shared" si="15"/>
        <v/>
      </c>
      <c r="AL385" s="11"/>
      <c r="AM385" s="11" t="str">
        <f t="shared" si="16"/>
        <v/>
      </c>
      <c r="AN385" s="11"/>
      <c r="AO385" s="11"/>
      <c r="AP385" s="11"/>
      <c r="AQ385" s="12"/>
      <c r="AR385" s="12" t="str">
        <f t="shared" si="17"/>
        <v/>
      </c>
      <c r="AS385" s="11"/>
    </row>
    <row r="386" spans="1:45" x14ac:dyDescent="0.2">
      <c r="A386" s="11"/>
      <c r="B386" s="11"/>
      <c r="C386" s="11"/>
      <c r="D386" s="11"/>
      <c r="E386" s="11"/>
      <c r="F386" s="11"/>
      <c r="G386" s="12"/>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3" t="str">
        <f t="shared" si="15"/>
        <v/>
      </c>
      <c r="AL386" s="11"/>
      <c r="AM386" s="11" t="str">
        <f t="shared" si="16"/>
        <v/>
      </c>
      <c r="AN386" s="11"/>
      <c r="AO386" s="11"/>
      <c r="AP386" s="11"/>
      <c r="AQ386" s="12"/>
      <c r="AR386" s="12" t="str">
        <f t="shared" si="17"/>
        <v/>
      </c>
      <c r="AS386" s="11"/>
    </row>
    <row r="387" spans="1:45" x14ac:dyDescent="0.2">
      <c r="A387" s="11"/>
      <c r="B387" s="11"/>
      <c r="C387" s="11"/>
      <c r="D387" s="11"/>
      <c r="E387" s="11"/>
      <c r="F387" s="11"/>
      <c r="G387" s="12"/>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3" t="str">
        <f t="shared" si="15"/>
        <v/>
      </c>
      <c r="AL387" s="11"/>
      <c r="AM387" s="11" t="str">
        <f t="shared" si="16"/>
        <v/>
      </c>
      <c r="AN387" s="11"/>
      <c r="AO387" s="11"/>
      <c r="AP387" s="11"/>
      <c r="AQ387" s="12"/>
      <c r="AR387" s="12" t="str">
        <f t="shared" si="17"/>
        <v/>
      </c>
      <c r="AS387" s="11"/>
    </row>
    <row r="388" spans="1:45" x14ac:dyDescent="0.2">
      <c r="A388" s="11"/>
      <c r="B388" s="11"/>
      <c r="C388" s="11"/>
      <c r="D388" s="11"/>
      <c r="E388" s="11"/>
      <c r="F388" s="11"/>
      <c r="G388" s="12"/>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3" t="str">
        <f t="shared" si="15"/>
        <v/>
      </c>
      <c r="AL388" s="11"/>
      <c r="AM388" s="11" t="str">
        <f t="shared" si="16"/>
        <v/>
      </c>
      <c r="AN388" s="11"/>
      <c r="AO388" s="11"/>
      <c r="AP388" s="11"/>
      <c r="AQ388" s="12"/>
      <c r="AR388" s="12" t="str">
        <f t="shared" si="17"/>
        <v/>
      </c>
      <c r="AS388" s="11"/>
    </row>
    <row r="389" spans="1:45" x14ac:dyDescent="0.2">
      <c r="A389" s="11"/>
      <c r="B389" s="11"/>
      <c r="C389" s="11"/>
      <c r="D389" s="11"/>
      <c r="E389" s="11"/>
      <c r="F389" s="11"/>
      <c r="G389" s="12"/>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3" t="str">
        <f t="shared" ref="AK389:AK452" si="18">IF(C389="","",(B389="")+(C389="")+(D389="")+(E389="")+(F389="")+(H389="")+(I389="")+(J389="")+(L389="")+(M389="")+(Q389="")+(S389="")+(T389="")+(U389="")+(V389="")+(W389="")+(Y389="")+(Z389="")+(AB389="")+(AD389="")+(AE389="")+(AF389="")+(AI389=""))</f>
        <v/>
      </c>
      <c r="AL389" s="11"/>
      <c r="AM389" s="11" t="str">
        <f t="shared" ref="AM389:AM452" si="19">IF(C389="","",IF(OR(T389="Yes",W389="Yes",Y389="Yes",AE389="Yes",AF389="Fully automated"),"Review for High","-"))</f>
        <v/>
      </c>
      <c r="AN389" s="11"/>
      <c r="AO389" s="11"/>
      <c r="AP389" s="11"/>
      <c r="AQ389" s="12"/>
      <c r="AR389" s="12" t="str">
        <f t="shared" ref="AR389:AR452" si="20">IF(OR(AN389="",AQ389=""),"",IF(AN389="High",EDATE(AQ389,3),IF(AN389="Medium",EDATE(AQ389,12),"On material change")))</f>
        <v/>
      </c>
      <c r="AS389" s="11"/>
    </row>
    <row r="390" spans="1:45" x14ac:dyDescent="0.2">
      <c r="A390" s="11"/>
      <c r="B390" s="11"/>
      <c r="C390" s="11"/>
      <c r="D390" s="11"/>
      <c r="E390" s="11"/>
      <c r="F390" s="11"/>
      <c r="G390" s="12"/>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3" t="str">
        <f t="shared" si="18"/>
        <v/>
      </c>
      <c r="AL390" s="11"/>
      <c r="AM390" s="11" t="str">
        <f t="shared" si="19"/>
        <v/>
      </c>
      <c r="AN390" s="11"/>
      <c r="AO390" s="11"/>
      <c r="AP390" s="11"/>
      <c r="AQ390" s="12"/>
      <c r="AR390" s="12" t="str">
        <f t="shared" si="20"/>
        <v/>
      </c>
      <c r="AS390" s="11"/>
    </row>
    <row r="391" spans="1:45" x14ac:dyDescent="0.2">
      <c r="A391" s="11"/>
      <c r="B391" s="11"/>
      <c r="C391" s="11"/>
      <c r="D391" s="11"/>
      <c r="E391" s="11"/>
      <c r="F391" s="11"/>
      <c r="G391" s="12"/>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3" t="str">
        <f t="shared" si="18"/>
        <v/>
      </c>
      <c r="AL391" s="11"/>
      <c r="AM391" s="11" t="str">
        <f t="shared" si="19"/>
        <v/>
      </c>
      <c r="AN391" s="11"/>
      <c r="AO391" s="11"/>
      <c r="AP391" s="11"/>
      <c r="AQ391" s="12"/>
      <c r="AR391" s="12" t="str">
        <f t="shared" si="20"/>
        <v/>
      </c>
      <c r="AS391" s="11"/>
    </row>
    <row r="392" spans="1:45" x14ac:dyDescent="0.2">
      <c r="A392" s="11"/>
      <c r="B392" s="11"/>
      <c r="C392" s="11"/>
      <c r="D392" s="11"/>
      <c r="E392" s="11"/>
      <c r="F392" s="11"/>
      <c r="G392" s="12"/>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3" t="str">
        <f t="shared" si="18"/>
        <v/>
      </c>
      <c r="AL392" s="11"/>
      <c r="AM392" s="11" t="str">
        <f t="shared" si="19"/>
        <v/>
      </c>
      <c r="AN392" s="11"/>
      <c r="AO392" s="11"/>
      <c r="AP392" s="11"/>
      <c r="AQ392" s="12"/>
      <c r="AR392" s="12" t="str">
        <f t="shared" si="20"/>
        <v/>
      </c>
      <c r="AS392" s="11"/>
    </row>
    <row r="393" spans="1:45" x14ac:dyDescent="0.2">
      <c r="A393" s="11"/>
      <c r="B393" s="11"/>
      <c r="C393" s="11"/>
      <c r="D393" s="11"/>
      <c r="E393" s="11"/>
      <c r="F393" s="11"/>
      <c r="G393" s="12"/>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3" t="str">
        <f t="shared" si="18"/>
        <v/>
      </c>
      <c r="AL393" s="11"/>
      <c r="AM393" s="11" t="str">
        <f t="shared" si="19"/>
        <v/>
      </c>
      <c r="AN393" s="11"/>
      <c r="AO393" s="11"/>
      <c r="AP393" s="11"/>
      <c r="AQ393" s="12"/>
      <c r="AR393" s="12" t="str">
        <f t="shared" si="20"/>
        <v/>
      </c>
      <c r="AS393" s="11"/>
    </row>
    <row r="394" spans="1:45" x14ac:dyDescent="0.2">
      <c r="A394" s="11"/>
      <c r="B394" s="11"/>
      <c r="C394" s="11"/>
      <c r="D394" s="11"/>
      <c r="E394" s="11"/>
      <c r="F394" s="11"/>
      <c r="G394" s="12"/>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3" t="str">
        <f t="shared" si="18"/>
        <v/>
      </c>
      <c r="AL394" s="11"/>
      <c r="AM394" s="11" t="str">
        <f t="shared" si="19"/>
        <v/>
      </c>
      <c r="AN394" s="11"/>
      <c r="AO394" s="11"/>
      <c r="AP394" s="11"/>
      <c r="AQ394" s="12"/>
      <c r="AR394" s="12" t="str">
        <f t="shared" si="20"/>
        <v/>
      </c>
      <c r="AS394" s="11"/>
    </row>
    <row r="395" spans="1:45" x14ac:dyDescent="0.2">
      <c r="A395" s="11"/>
      <c r="B395" s="11"/>
      <c r="C395" s="11"/>
      <c r="D395" s="11"/>
      <c r="E395" s="11"/>
      <c r="F395" s="11"/>
      <c r="G395" s="12"/>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3" t="str">
        <f t="shared" si="18"/>
        <v/>
      </c>
      <c r="AL395" s="11"/>
      <c r="AM395" s="11" t="str">
        <f t="shared" si="19"/>
        <v/>
      </c>
      <c r="AN395" s="11"/>
      <c r="AO395" s="11"/>
      <c r="AP395" s="11"/>
      <c r="AQ395" s="12"/>
      <c r="AR395" s="12" t="str">
        <f t="shared" si="20"/>
        <v/>
      </c>
      <c r="AS395" s="11"/>
    </row>
    <row r="396" spans="1:45" x14ac:dyDescent="0.2">
      <c r="A396" s="11"/>
      <c r="B396" s="11"/>
      <c r="C396" s="11"/>
      <c r="D396" s="11"/>
      <c r="E396" s="11"/>
      <c r="F396" s="11"/>
      <c r="G396" s="12"/>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3" t="str">
        <f t="shared" si="18"/>
        <v/>
      </c>
      <c r="AL396" s="11"/>
      <c r="AM396" s="11" t="str">
        <f t="shared" si="19"/>
        <v/>
      </c>
      <c r="AN396" s="11"/>
      <c r="AO396" s="11"/>
      <c r="AP396" s="11"/>
      <c r="AQ396" s="12"/>
      <c r="AR396" s="12" t="str">
        <f t="shared" si="20"/>
        <v/>
      </c>
      <c r="AS396" s="11"/>
    </row>
    <row r="397" spans="1:45" x14ac:dyDescent="0.2">
      <c r="A397" s="11"/>
      <c r="B397" s="11"/>
      <c r="C397" s="11"/>
      <c r="D397" s="11"/>
      <c r="E397" s="11"/>
      <c r="F397" s="11"/>
      <c r="G397" s="12"/>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3" t="str">
        <f t="shared" si="18"/>
        <v/>
      </c>
      <c r="AL397" s="11"/>
      <c r="AM397" s="11" t="str">
        <f t="shared" si="19"/>
        <v/>
      </c>
      <c r="AN397" s="11"/>
      <c r="AO397" s="11"/>
      <c r="AP397" s="11"/>
      <c r="AQ397" s="12"/>
      <c r="AR397" s="12" t="str">
        <f t="shared" si="20"/>
        <v/>
      </c>
      <c r="AS397" s="11"/>
    </row>
    <row r="398" spans="1:45" x14ac:dyDescent="0.2">
      <c r="A398" s="11"/>
      <c r="B398" s="11"/>
      <c r="C398" s="11"/>
      <c r="D398" s="11"/>
      <c r="E398" s="11"/>
      <c r="F398" s="11"/>
      <c r="G398" s="12"/>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3" t="str">
        <f t="shared" si="18"/>
        <v/>
      </c>
      <c r="AL398" s="11"/>
      <c r="AM398" s="11" t="str">
        <f t="shared" si="19"/>
        <v/>
      </c>
      <c r="AN398" s="11"/>
      <c r="AO398" s="11"/>
      <c r="AP398" s="11"/>
      <c r="AQ398" s="12"/>
      <c r="AR398" s="12" t="str">
        <f t="shared" si="20"/>
        <v/>
      </c>
      <c r="AS398" s="11"/>
    </row>
    <row r="399" spans="1:45" x14ac:dyDescent="0.2">
      <c r="A399" s="11"/>
      <c r="B399" s="11"/>
      <c r="C399" s="11"/>
      <c r="D399" s="11"/>
      <c r="E399" s="11"/>
      <c r="F399" s="11"/>
      <c r="G399" s="12"/>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3" t="str">
        <f t="shared" si="18"/>
        <v/>
      </c>
      <c r="AL399" s="11"/>
      <c r="AM399" s="11" t="str">
        <f t="shared" si="19"/>
        <v/>
      </c>
      <c r="AN399" s="11"/>
      <c r="AO399" s="11"/>
      <c r="AP399" s="11"/>
      <c r="AQ399" s="12"/>
      <c r="AR399" s="12" t="str">
        <f t="shared" si="20"/>
        <v/>
      </c>
      <c r="AS399" s="11"/>
    </row>
    <row r="400" spans="1:45" x14ac:dyDescent="0.2">
      <c r="A400" s="11"/>
      <c r="B400" s="11"/>
      <c r="C400" s="11"/>
      <c r="D400" s="11"/>
      <c r="E400" s="11"/>
      <c r="F400" s="11"/>
      <c r="G400" s="12"/>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3" t="str">
        <f t="shared" si="18"/>
        <v/>
      </c>
      <c r="AL400" s="11"/>
      <c r="AM400" s="11" t="str">
        <f t="shared" si="19"/>
        <v/>
      </c>
      <c r="AN400" s="11"/>
      <c r="AO400" s="11"/>
      <c r="AP400" s="11"/>
      <c r="AQ400" s="12"/>
      <c r="AR400" s="12" t="str">
        <f t="shared" si="20"/>
        <v/>
      </c>
      <c r="AS400" s="11"/>
    </row>
    <row r="401" spans="1:45" x14ac:dyDescent="0.2">
      <c r="A401" s="11"/>
      <c r="B401" s="11"/>
      <c r="C401" s="11"/>
      <c r="D401" s="11"/>
      <c r="E401" s="11"/>
      <c r="F401" s="11"/>
      <c r="G401" s="12"/>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3" t="str">
        <f t="shared" si="18"/>
        <v/>
      </c>
      <c r="AL401" s="11"/>
      <c r="AM401" s="11" t="str">
        <f t="shared" si="19"/>
        <v/>
      </c>
      <c r="AN401" s="11"/>
      <c r="AO401" s="11"/>
      <c r="AP401" s="11"/>
      <c r="AQ401" s="12"/>
      <c r="AR401" s="12" t="str">
        <f t="shared" si="20"/>
        <v/>
      </c>
      <c r="AS401" s="11"/>
    </row>
    <row r="402" spans="1:45" x14ac:dyDescent="0.2">
      <c r="A402" s="11"/>
      <c r="B402" s="11"/>
      <c r="C402" s="11"/>
      <c r="D402" s="11"/>
      <c r="E402" s="11"/>
      <c r="F402" s="11"/>
      <c r="G402" s="12"/>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3" t="str">
        <f t="shared" si="18"/>
        <v/>
      </c>
      <c r="AL402" s="11"/>
      <c r="AM402" s="11" t="str">
        <f t="shared" si="19"/>
        <v/>
      </c>
      <c r="AN402" s="11"/>
      <c r="AO402" s="11"/>
      <c r="AP402" s="11"/>
      <c r="AQ402" s="12"/>
      <c r="AR402" s="12" t="str">
        <f t="shared" si="20"/>
        <v/>
      </c>
      <c r="AS402" s="11"/>
    </row>
    <row r="403" spans="1:45" x14ac:dyDescent="0.2">
      <c r="A403" s="11"/>
      <c r="B403" s="11"/>
      <c r="C403" s="11"/>
      <c r="D403" s="11"/>
      <c r="E403" s="11"/>
      <c r="F403" s="11"/>
      <c r="G403" s="12"/>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3" t="str">
        <f t="shared" si="18"/>
        <v/>
      </c>
      <c r="AL403" s="11"/>
      <c r="AM403" s="11" t="str">
        <f t="shared" si="19"/>
        <v/>
      </c>
      <c r="AN403" s="11"/>
      <c r="AO403" s="11"/>
      <c r="AP403" s="11"/>
      <c r="AQ403" s="12"/>
      <c r="AR403" s="12" t="str">
        <f t="shared" si="20"/>
        <v/>
      </c>
      <c r="AS403" s="11"/>
    </row>
    <row r="404" spans="1:45" x14ac:dyDescent="0.2">
      <c r="A404" s="11"/>
      <c r="B404" s="11"/>
      <c r="C404" s="11"/>
      <c r="D404" s="11"/>
      <c r="E404" s="11"/>
      <c r="F404" s="11"/>
      <c r="G404" s="12"/>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3" t="str">
        <f t="shared" si="18"/>
        <v/>
      </c>
      <c r="AL404" s="11"/>
      <c r="AM404" s="11" t="str">
        <f t="shared" si="19"/>
        <v/>
      </c>
      <c r="AN404" s="11"/>
      <c r="AO404" s="11"/>
      <c r="AP404" s="11"/>
      <c r="AQ404" s="12"/>
      <c r="AR404" s="12" t="str">
        <f t="shared" si="20"/>
        <v/>
      </c>
      <c r="AS404" s="11"/>
    </row>
    <row r="405" spans="1:45" x14ac:dyDescent="0.2">
      <c r="A405" s="11"/>
      <c r="B405" s="11"/>
      <c r="C405" s="11"/>
      <c r="D405" s="11"/>
      <c r="E405" s="11"/>
      <c r="F405" s="11"/>
      <c r="G405" s="12"/>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3" t="str">
        <f t="shared" si="18"/>
        <v/>
      </c>
      <c r="AL405" s="11"/>
      <c r="AM405" s="11" t="str">
        <f t="shared" si="19"/>
        <v/>
      </c>
      <c r="AN405" s="11"/>
      <c r="AO405" s="11"/>
      <c r="AP405" s="11"/>
      <c r="AQ405" s="12"/>
      <c r="AR405" s="12" t="str">
        <f t="shared" si="20"/>
        <v/>
      </c>
      <c r="AS405" s="11"/>
    </row>
    <row r="406" spans="1:45" x14ac:dyDescent="0.2">
      <c r="A406" s="11"/>
      <c r="B406" s="11"/>
      <c r="C406" s="11"/>
      <c r="D406" s="11"/>
      <c r="E406" s="11"/>
      <c r="F406" s="11"/>
      <c r="G406" s="12"/>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3" t="str">
        <f t="shared" si="18"/>
        <v/>
      </c>
      <c r="AL406" s="11"/>
      <c r="AM406" s="11" t="str">
        <f t="shared" si="19"/>
        <v/>
      </c>
      <c r="AN406" s="11"/>
      <c r="AO406" s="11"/>
      <c r="AP406" s="11"/>
      <c r="AQ406" s="12"/>
      <c r="AR406" s="12" t="str">
        <f t="shared" si="20"/>
        <v/>
      </c>
      <c r="AS406" s="11"/>
    </row>
    <row r="407" spans="1:45" x14ac:dyDescent="0.2">
      <c r="A407" s="11"/>
      <c r="B407" s="11"/>
      <c r="C407" s="11"/>
      <c r="D407" s="11"/>
      <c r="E407" s="11"/>
      <c r="F407" s="11"/>
      <c r="G407" s="12"/>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3" t="str">
        <f t="shared" si="18"/>
        <v/>
      </c>
      <c r="AL407" s="11"/>
      <c r="AM407" s="11" t="str">
        <f t="shared" si="19"/>
        <v/>
      </c>
      <c r="AN407" s="11"/>
      <c r="AO407" s="11"/>
      <c r="AP407" s="11"/>
      <c r="AQ407" s="12"/>
      <c r="AR407" s="12" t="str">
        <f t="shared" si="20"/>
        <v/>
      </c>
      <c r="AS407" s="11"/>
    </row>
    <row r="408" spans="1:45" x14ac:dyDescent="0.2">
      <c r="A408" s="11"/>
      <c r="B408" s="11"/>
      <c r="C408" s="11"/>
      <c r="D408" s="11"/>
      <c r="E408" s="11"/>
      <c r="F408" s="11"/>
      <c r="G408" s="12"/>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3" t="str">
        <f t="shared" si="18"/>
        <v/>
      </c>
      <c r="AL408" s="11"/>
      <c r="AM408" s="11" t="str">
        <f t="shared" si="19"/>
        <v/>
      </c>
      <c r="AN408" s="11"/>
      <c r="AO408" s="11"/>
      <c r="AP408" s="11"/>
      <c r="AQ408" s="12"/>
      <c r="AR408" s="12" t="str">
        <f t="shared" si="20"/>
        <v/>
      </c>
      <c r="AS408" s="11"/>
    </row>
    <row r="409" spans="1:45" x14ac:dyDescent="0.2">
      <c r="A409" s="11"/>
      <c r="B409" s="11"/>
      <c r="C409" s="11"/>
      <c r="D409" s="11"/>
      <c r="E409" s="11"/>
      <c r="F409" s="11"/>
      <c r="G409" s="12"/>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3" t="str">
        <f t="shared" si="18"/>
        <v/>
      </c>
      <c r="AL409" s="11"/>
      <c r="AM409" s="11" t="str">
        <f t="shared" si="19"/>
        <v/>
      </c>
      <c r="AN409" s="11"/>
      <c r="AO409" s="11"/>
      <c r="AP409" s="11"/>
      <c r="AQ409" s="12"/>
      <c r="AR409" s="12" t="str">
        <f t="shared" si="20"/>
        <v/>
      </c>
      <c r="AS409" s="11"/>
    </row>
    <row r="410" spans="1:45" x14ac:dyDescent="0.2">
      <c r="A410" s="11"/>
      <c r="B410" s="11"/>
      <c r="C410" s="11"/>
      <c r="D410" s="11"/>
      <c r="E410" s="11"/>
      <c r="F410" s="11"/>
      <c r="G410" s="12"/>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3" t="str">
        <f t="shared" si="18"/>
        <v/>
      </c>
      <c r="AL410" s="11"/>
      <c r="AM410" s="11" t="str">
        <f t="shared" si="19"/>
        <v/>
      </c>
      <c r="AN410" s="11"/>
      <c r="AO410" s="11"/>
      <c r="AP410" s="11"/>
      <c r="AQ410" s="12"/>
      <c r="AR410" s="12" t="str">
        <f t="shared" si="20"/>
        <v/>
      </c>
      <c r="AS410" s="11"/>
    </row>
    <row r="411" spans="1:45" x14ac:dyDescent="0.2">
      <c r="A411" s="11"/>
      <c r="B411" s="11"/>
      <c r="C411" s="11"/>
      <c r="D411" s="11"/>
      <c r="E411" s="11"/>
      <c r="F411" s="11"/>
      <c r="G411" s="12"/>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3" t="str">
        <f t="shared" si="18"/>
        <v/>
      </c>
      <c r="AL411" s="11"/>
      <c r="AM411" s="11" t="str">
        <f t="shared" si="19"/>
        <v/>
      </c>
      <c r="AN411" s="11"/>
      <c r="AO411" s="11"/>
      <c r="AP411" s="11"/>
      <c r="AQ411" s="12"/>
      <c r="AR411" s="12" t="str">
        <f t="shared" si="20"/>
        <v/>
      </c>
      <c r="AS411" s="11"/>
    </row>
    <row r="412" spans="1:45" x14ac:dyDescent="0.2">
      <c r="A412" s="11"/>
      <c r="B412" s="11"/>
      <c r="C412" s="11"/>
      <c r="D412" s="11"/>
      <c r="E412" s="11"/>
      <c r="F412" s="11"/>
      <c r="G412" s="12"/>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3" t="str">
        <f t="shared" si="18"/>
        <v/>
      </c>
      <c r="AL412" s="11"/>
      <c r="AM412" s="11" t="str">
        <f t="shared" si="19"/>
        <v/>
      </c>
      <c r="AN412" s="11"/>
      <c r="AO412" s="11"/>
      <c r="AP412" s="11"/>
      <c r="AQ412" s="12"/>
      <c r="AR412" s="12" t="str">
        <f t="shared" si="20"/>
        <v/>
      </c>
      <c r="AS412" s="11"/>
    </row>
    <row r="413" spans="1:45" x14ac:dyDescent="0.2">
      <c r="A413" s="11"/>
      <c r="B413" s="11"/>
      <c r="C413" s="11"/>
      <c r="D413" s="11"/>
      <c r="E413" s="11"/>
      <c r="F413" s="11"/>
      <c r="G413" s="12"/>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3" t="str">
        <f t="shared" si="18"/>
        <v/>
      </c>
      <c r="AL413" s="11"/>
      <c r="AM413" s="11" t="str">
        <f t="shared" si="19"/>
        <v/>
      </c>
      <c r="AN413" s="11"/>
      <c r="AO413" s="11"/>
      <c r="AP413" s="11"/>
      <c r="AQ413" s="12"/>
      <c r="AR413" s="12" t="str">
        <f t="shared" si="20"/>
        <v/>
      </c>
      <c r="AS413" s="11"/>
    </row>
    <row r="414" spans="1:45" x14ac:dyDescent="0.2">
      <c r="A414" s="11"/>
      <c r="B414" s="11"/>
      <c r="C414" s="11"/>
      <c r="D414" s="11"/>
      <c r="E414" s="11"/>
      <c r="F414" s="11"/>
      <c r="G414" s="12"/>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3" t="str">
        <f t="shared" si="18"/>
        <v/>
      </c>
      <c r="AL414" s="11"/>
      <c r="AM414" s="11" t="str">
        <f t="shared" si="19"/>
        <v/>
      </c>
      <c r="AN414" s="11"/>
      <c r="AO414" s="11"/>
      <c r="AP414" s="11"/>
      <c r="AQ414" s="12"/>
      <c r="AR414" s="12" t="str">
        <f t="shared" si="20"/>
        <v/>
      </c>
      <c r="AS414" s="11"/>
    </row>
    <row r="415" spans="1:45" x14ac:dyDescent="0.2">
      <c r="A415" s="11"/>
      <c r="B415" s="11"/>
      <c r="C415" s="11"/>
      <c r="D415" s="11"/>
      <c r="E415" s="11"/>
      <c r="F415" s="11"/>
      <c r="G415" s="12"/>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3" t="str">
        <f t="shared" si="18"/>
        <v/>
      </c>
      <c r="AL415" s="11"/>
      <c r="AM415" s="11" t="str">
        <f t="shared" si="19"/>
        <v/>
      </c>
      <c r="AN415" s="11"/>
      <c r="AO415" s="11"/>
      <c r="AP415" s="11"/>
      <c r="AQ415" s="12"/>
      <c r="AR415" s="12" t="str">
        <f t="shared" si="20"/>
        <v/>
      </c>
      <c r="AS415" s="11"/>
    </row>
    <row r="416" spans="1:45" x14ac:dyDescent="0.2">
      <c r="A416" s="11"/>
      <c r="B416" s="11"/>
      <c r="C416" s="11"/>
      <c r="D416" s="11"/>
      <c r="E416" s="11"/>
      <c r="F416" s="11"/>
      <c r="G416" s="12"/>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3" t="str">
        <f t="shared" si="18"/>
        <v/>
      </c>
      <c r="AL416" s="11"/>
      <c r="AM416" s="11" t="str">
        <f t="shared" si="19"/>
        <v/>
      </c>
      <c r="AN416" s="11"/>
      <c r="AO416" s="11"/>
      <c r="AP416" s="11"/>
      <c r="AQ416" s="12"/>
      <c r="AR416" s="12" t="str">
        <f t="shared" si="20"/>
        <v/>
      </c>
      <c r="AS416" s="11"/>
    </row>
    <row r="417" spans="1:45" x14ac:dyDescent="0.2">
      <c r="A417" s="11"/>
      <c r="B417" s="11"/>
      <c r="C417" s="11"/>
      <c r="D417" s="11"/>
      <c r="E417" s="11"/>
      <c r="F417" s="11"/>
      <c r="G417" s="12"/>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3" t="str">
        <f t="shared" si="18"/>
        <v/>
      </c>
      <c r="AL417" s="11"/>
      <c r="AM417" s="11" t="str">
        <f t="shared" si="19"/>
        <v/>
      </c>
      <c r="AN417" s="11"/>
      <c r="AO417" s="11"/>
      <c r="AP417" s="11"/>
      <c r="AQ417" s="12"/>
      <c r="AR417" s="12" t="str">
        <f t="shared" si="20"/>
        <v/>
      </c>
      <c r="AS417" s="11"/>
    </row>
    <row r="418" spans="1:45" x14ac:dyDescent="0.2">
      <c r="A418" s="11"/>
      <c r="B418" s="11"/>
      <c r="C418" s="11"/>
      <c r="D418" s="11"/>
      <c r="E418" s="11"/>
      <c r="F418" s="11"/>
      <c r="G418" s="12"/>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3" t="str">
        <f t="shared" si="18"/>
        <v/>
      </c>
      <c r="AL418" s="11"/>
      <c r="AM418" s="11" t="str">
        <f t="shared" si="19"/>
        <v/>
      </c>
      <c r="AN418" s="11"/>
      <c r="AO418" s="11"/>
      <c r="AP418" s="11"/>
      <c r="AQ418" s="12"/>
      <c r="AR418" s="12" t="str">
        <f t="shared" si="20"/>
        <v/>
      </c>
      <c r="AS418" s="11"/>
    </row>
    <row r="419" spans="1:45" x14ac:dyDescent="0.2">
      <c r="A419" s="11"/>
      <c r="B419" s="11"/>
      <c r="C419" s="11"/>
      <c r="D419" s="11"/>
      <c r="E419" s="11"/>
      <c r="F419" s="11"/>
      <c r="G419" s="12"/>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3" t="str">
        <f t="shared" si="18"/>
        <v/>
      </c>
      <c r="AL419" s="11"/>
      <c r="AM419" s="11" t="str">
        <f t="shared" si="19"/>
        <v/>
      </c>
      <c r="AN419" s="11"/>
      <c r="AO419" s="11"/>
      <c r="AP419" s="11"/>
      <c r="AQ419" s="12"/>
      <c r="AR419" s="12" t="str">
        <f t="shared" si="20"/>
        <v/>
      </c>
      <c r="AS419" s="11"/>
    </row>
    <row r="420" spans="1:45" x14ac:dyDescent="0.2">
      <c r="A420" s="11"/>
      <c r="B420" s="11"/>
      <c r="C420" s="11"/>
      <c r="D420" s="11"/>
      <c r="E420" s="11"/>
      <c r="F420" s="11"/>
      <c r="G420" s="12"/>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3" t="str">
        <f t="shared" si="18"/>
        <v/>
      </c>
      <c r="AL420" s="11"/>
      <c r="AM420" s="11" t="str">
        <f t="shared" si="19"/>
        <v/>
      </c>
      <c r="AN420" s="11"/>
      <c r="AO420" s="11"/>
      <c r="AP420" s="11"/>
      <c r="AQ420" s="12"/>
      <c r="AR420" s="12" t="str">
        <f t="shared" si="20"/>
        <v/>
      </c>
      <c r="AS420" s="11"/>
    </row>
    <row r="421" spans="1:45" x14ac:dyDescent="0.2">
      <c r="A421" s="11"/>
      <c r="B421" s="11"/>
      <c r="C421" s="11"/>
      <c r="D421" s="11"/>
      <c r="E421" s="11"/>
      <c r="F421" s="11"/>
      <c r="G421" s="12"/>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3" t="str">
        <f t="shared" si="18"/>
        <v/>
      </c>
      <c r="AL421" s="11"/>
      <c r="AM421" s="11" t="str">
        <f t="shared" si="19"/>
        <v/>
      </c>
      <c r="AN421" s="11"/>
      <c r="AO421" s="11"/>
      <c r="AP421" s="11"/>
      <c r="AQ421" s="12"/>
      <c r="AR421" s="12" t="str">
        <f t="shared" si="20"/>
        <v/>
      </c>
      <c r="AS421" s="11"/>
    </row>
    <row r="422" spans="1:45" x14ac:dyDescent="0.2">
      <c r="A422" s="11"/>
      <c r="B422" s="11"/>
      <c r="C422" s="11"/>
      <c r="D422" s="11"/>
      <c r="E422" s="11"/>
      <c r="F422" s="11"/>
      <c r="G422" s="12"/>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3" t="str">
        <f t="shared" si="18"/>
        <v/>
      </c>
      <c r="AL422" s="11"/>
      <c r="AM422" s="11" t="str">
        <f t="shared" si="19"/>
        <v/>
      </c>
      <c r="AN422" s="11"/>
      <c r="AO422" s="11"/>
      <c r="AP422" s="11"/>
      <c r="AQ422" s="12"/>
      <c r="AR422" s="12" t="str">
        <f t="shared" si="20"/>
        <v/>
      </c>
      <c r="AS422" s="11"/>
    </row>
    <row r="423" spans="1:45" x14ac:dyDescent="0.2">
      <c r="A423" s="11"/>
      <c r="B423" s="11"/>
      <c r="C423" s="11"/>
      <c r="D423" s="11"/>
      <c r="E423" s="11"/>
      <c r="F423" s="11"/>
      <c r="G423" s="12"/>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3" t="str">
        <f t="shared" si="18"/>
        <v/>
      </c>
      <c r="AL423" s="11"/>
      <c r="AM423" s="11" t="str">
        <f t="shared" si="19"/>
        <v/>
      </c>
      <c r="AN423" s="11"/>
      <c r="AO423" s="11"/>
      <c r="AP423" s="11"/>
      <c r="AQ423" s="12"/>
      <c r="AR423" s="12" t="str">
        <f t="shared" si="20"/>
        <v/>
      </c>
      <c r="AS423" s="11"/>
    </row>
    <row r="424" spans="1:45" x14ac:dyDescent="0.2">
      <c r="A424" s="11"/>
      <c r="B424" s="11"/>
      <c r="C424" s="11"/>
      <c r="D424" s="11"/>
      <c r="E424" s="11"/>
      <c r="F424" s="11"/>
      <c r="G424" s="12"/>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3" t="str">
        <f t="shared" si="18"/>
        <v/>
      </c>
      <c r="AL424" s="11"/>
      <c r="AM424" s="11" t="str">
        <f t="shared" si="19"/>
        <v/>
      </c>
      <c r="AN424" s="11"/>
      <c r="AO424" s="11"/>
      <c r="AP424" s="11"/>
      <c r="AQ424" s="12"/>
      <c r="AR424" s="12" t="str">
        <f t="shared" si="20"/>
        <v/>
      </c>
      <c r="AS424" s="11"/>
    </row>
    <row r="425" spans="1:45" x14ac:dyDescent="0.2">
      <c r="A425" s="11"/>
      <c r="B425" s="11"/>
      <c r="C425" s="11"/>
      <c r="D425" s="11"/>
      <c r="E425" s="11"/>
      <c r="F425" s="11"/>
      <c r="G425" s="12"/>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3" t="str">
        <f t="shared" si="18"/>
        <v/>
      </c>
      <c r="AL425" s="11"/>
      <c r="AM425" s="11" t="str">
        <f t="shared" si="19"/>
        <v/>
      </c>
      <c r="AN425" s="11"/>
      <c r="AO425" s="11"/>
      <c r="AP425" s="11"/>
      <c r="AQ425" s="12"/>
      <c r="AR425" s="12" t="str">
        <f t="shared" si="20"/>
        <v/>
      </c>
      <c r="AS425" s="11"/>
    </row>
    <row r="426" spans="1:45" x14ac:dyDescent="0.2">
      <c r="A426" s="11"/>
      <c r="B426" s="11"/>
      <c r="C426" s="11"/>
      <c r="D426" s="11"/>
      <c r="E426" s="11"/>
      <c r="F426" s="11"/>
      <c r="G426" s="12"/>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3" t="str">
        <f t="shared" si="18"/>
        <v/>
      </c>
      <c r="AL426" s="11"/>
      <c r="AM426" s="11" t="str">
        <f t="shared" si="19"/>
        <v/>
      </c>
      <c r="AN426" s="11"/>
      <c r="AO426" s="11"/>
      <c r="AP426" s="11"/>
      <c r="AQ426" s="12"/>
      <c r="AR426" s="12" t="str">
        <f t="shared" si="20"/>
        <v/>
      </c>
      <c r="AS426" s="11"/>
    </row>
    <row r="427" spans="1:45" x14ac:dyDescent="0.2">
      <c r="A427" s="11"/>
      <c r="B427" s="11"/>
      <c r="C427" s="11"/>
      <c r="D427" s="11"/>
      <c r="E427" s="11"/>
      <c r="F427" s="11"/>
      <c r="G427" s="12"/>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3" t="str">
        <f t="shared" si="18"/>
        <v/>
      </c>
      <c r="AL427" s="11"/>
      <c r="AM427" s="11" t="str">
        <f t="shared" si="19"/>
        <v/>
      </c>
      <c r="AN427" s="11"/>
      <c r="AO427" s="11"/>
      <c r="AP427" s="11"/>
      <c r="AQ427" s="12"/>
      <c r="AR427" s="12" t="str">
        <f t="shared" si="20"/>
        <v/>
      </c>
      <c r="AS427" s="11"/>
    </row>
    <row r="428" spans="1:45" x14ac:dyDescent="0.2">
      <c r="A428" s="11"/>
      <c r="B428" s="11"/>
      <c r="C428" s="11"/>
      <c r="D428" s="11"/>
      <c r="E428" s="11"/>
      <c r="F428" s="11"/>
      <c r="G428" s="12"/>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3" t="str">
        <f t="shared" si="18"/>
        <v/>
      </c>
      <c r="AL428" s="11"/>
      <c r="AM428" s="11" t="str">
        <f t="shared" si="19"/>
        <v/>
      </c>
      <c r="AN428" s="11"/>
      <c r="AO428" s="11"/>
      <c r="AP428" s="11"/>
      <c r="AQ428" s="12"/>
      <c r="AR428" s="12" t="str">
        <f t="shared" si="20"/>
        <v/>
      </c>
      <c r="AS428" s="11"/>
    </row>
    <row r="429" spans="1:45" x14ac:dyDescent="0.2">
      <c r="A429" s="11"/>
      <c r="B429" s="11"/>
      <c r="C429" s="11"/>
      <c r="D429" s="11"/>
      <c r="E429" s="11"/>
      <c r="F429" s="11"/>
      <c r="G429" s="12"/>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3" t="str">
        <f t="shared" si="18"/>
        <v/>
      </c>
      <c r="AL429" s="11"/>
      <c r="AM429" s="11" t="str">
        <f t="shared" si="19"/>
        <v/>
      </c>
      <c r="AN429" s="11"/>
      <c r="AO429" s="11"/>
      <c r="AP429" s="11"/>
      <c r="AQ429" s="12"/>
      <c r="AR429" s="12" t="str">
        <f t="shared" si="20"/>
        <v/>
      </c>
      <c r="AS429" s="11"/>
    </row>
    <row r="430" spans="1:45" x14ac:dyDescent="0.2">
      <c r="A430" s="11"/>
      <c r="B430" s="11"/>
      <c r="C430" s="11"/>
      <c r="D430" s="11"/>
      <c r="E430" s="11"/>
      <c r="F430" s="11"/>
      <c r="G430" s="12"/>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3" t="str">
        <f t="shared" si="18"/>
        <v/>
      </c>
      <c r="AL430" s="11"/>
      <c r="AM430" s="11" t="str">
        <f t="shared" si="19"/>
        <v/>
      </c>
      <c r="AN430" s="11"/>
      <c r="AO430" s="11"/>
      <c r="AP430" s="11"/>
      <c r="AQ430" s="12"/>
      <c r="AR430" s="12" t="str">
        <f t="shared" si="20"/>
        <v/>
      </c>
      <c r="AS430" s="11"/>
    </row>
    <row r="431" spans="1:45" x14ac:dyDescent="0.2">
      <c r="A431" s="11"/>
      <c r="B431" s="11"/>
      <c r="C431" s="11"/>
      <c r="D431" s="11"/>
      <c r="E431" s="11"/>
      <c r="F431" s="11"/>
      <c r="G431" s="12"/>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3" t="str">
        <f t="shared" si="18"/>
        <v/>
      </c>
      <c r="AL431" s="11"/>
      <c r="AM431" s="11" t="str">
        <f t="shared" si="19"/>
        <v/>
      </c>
      <c r="AN431" s="11"/>
      <c r="AO431" s="11"/>
      <c r="AP431" s="11"/>
      <c r="AQ431" s="12"/>
      <c r="AR431" s="12" t="str">
        <f t="shared" si="20"/>
        <v/>
      </c>
      <c r="AS431" s="11"/>
    </row>
    <row r="432" spans="1:45" x14ac:dyDescent="0.2">
      <c r="A432" s="11"/>
      <c r="B432" s="11"/>
      <c r="C432" s="11"/>
      <c r="D432" s="11"/>
      <c r="E432" s="11"/>
      <c r="F432" s="11"/>
      <c r="G432" s="12"/>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3" t="str">
        <f t="shared" si="18"/>
        <v/>
      </c>
      <c r="AL432" s="11"/>
      <c r="AM432" s="11" t="str">
        <f t="shared" si="19"/>
        <v/>
      </c>
      <c r="AN432" s="11"/>
      <c r="AO432" s="11"/>
      <c r="AP432" s="11"/>
      <c r="AQ432" s="12"/>
      <c r="AR432" s="12" t="str">
        <f t="shared" si="20"/>
        <v/>
      </c>
      <c r="AS432" s="11"/>
    </row>
    <row r="433" spans="1:45" x14ac:dyDescent="0.2">
      <c r="A433" s="11"/>
      <c r="B433" s="11"/>
      <c r="C433" s="11"/>
      <c r="D433" s="11"/>
      <c r="E433" s="11"/>
      <c r="F433" s="11"/>
      <c r="G433" s="12"/>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3" t="str">
        <f t="shared" si="18"/>
        <v/>
      </c>
      <c r="AL433" s="11"/>
      <c r="AM433" s="11" t="str">
        <f t="shared" si="19"/>
        <v/>
      </c>
      <c r="AN433" s="11"/>
      <c r="AO433" s="11"/>
      <c r="AP433" s="11"/>
      <c r="AQ433" s="12"/>
      <c r="AR433" s="12" t="str">
        <f t="shared" si="20"/>
        <v/>
      </c>
      <c r="AS433" s="11"/>
    </row>
    <row r="434" spans="1:45" x14ac:dyDescent="0.2">
      <c r="A434" s="11"/>
      <c r="B434" s="11"/>
      <c r="C434" s="11"/>
      <c r="D434" s="11"/>
      <c r="E434" s="11"/>
      <c r="F434" s="11"/>
      <c r="G434" s="12"/>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3" t="str">
        <f t="shared" si="18"/>
        <v/>
      </c>
      <c r="AL434" s="11"/>
      <c r="AM434" s="11" t="str">
        <f t="shared" si="19"/>
        <v/>
      </c>
      <c r="AN434" s="11"/>
      <c r="AO434" s="11"/>
      <c r="AP434" s="11"/>
      <c r="AQ434" s="12"/>
      <c r="AR434" s="12" t="str">
        <f t="shared" si="20"/>
        <v/>
      </c>
      <c r="AS434" s="11"/>
    </row>
    <row r="435" spans="1:45" x14ac:dyDescent="0.2">
      <c r="A435" s="11"/>
      <c r="B435" s="11"/>
      <c r="C435" s="11"/>
      <c r="D435" s="11"/>
      <c r="E435" s="11"/>
      <c r="F435" s="11"/>
      <c r="G435" s="12"/>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3" t="str">
        <f t="shared" si="18"/>
        <v/>
      </c>
      <c r="AL435" s="11"/>
      <c r="AM435" s="11" t="str">
        <f t="shared" si="19"/>
        <v/>
      </c>
      <c r="AN435" s="11"/>
      <c r="AO435" s="11"/>
      <c r="AP435" s="11"/>
      <c r="AQ435" s="12"/>
      <c r="AR435" s="12" t="str">
        <f t="shared" si="20"/>
        <v/>
      </c>
      <c r="AS435" s="11"/>
    </row>
    <row r="436" spans="1:45" x14ac:dyDescent="0.2">
      <c r="A436" s="11"/>
      <c r="B436" s="11"/>
      <c r="C436" s="11"/>
      <c r="D436" s="11"/>
      <c r="E436" s="11"/>
      <c r="F436" s="11"/>
      <c r="G436" s="12"/>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3" t="str">
        <f t="shared" si="18"/>
        <v/>
      </c>
      <c r="AL436" s="11"/>
      <c r="AM436" s="11" t="str">
        <f t="shared" si="19"/>
        <v/>
      </c>
      <c r="AN436" s="11"/>
      <c r="AO436" s="11"/>
      <c r="AP436" s="11"/>
      <c r="AQ436" s="12"/>
      <c r="AR436" s="12" t="str">
        <f t="shared" si="20"/>
        <v/>
      </c>
      <c r="AS436" s="11"/>
    </row>
    <row r="437" spans="1:45" x14ac:dyDescent="0.2">
      <c r="A437" s="11"/>
      <c r="B437" s="11"/>
      <c r="C437" s="11"/>
      <c r="D437" s="11"/>
      <c r="E437" s="11"/>
      <c r="F437" s="11"/>
      <c r="G437" s="12"/>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3" t="str">
        <f t="shared" si="18"/>
        <v/>
      </c>
      <c r="AL437" s="11"/>
      <c r="AM437" s="11" t="str">
        <f t="shared" si="19"/>
        <v/>
      </c>
      <c r="AN437" s="11"/>
      <c r="AO437" s="11"/>
      <c r="AP437" s="11"/>
      <c r="AQ437" s="12"/>
      <c r="AR437" s="12" t="str">
        <f t="shared" si="20"/>
        <v/>
      </c>
      <c r="AS437" s="11"/>
    </row>
    <row r="438" spans="1:45" x14ac:dyDescent="0.2">
      <c r="A438" s="11"/>
      <c r="B438" s="11"/>
      <c r="C438" s="11"/>
      <c r="D438" s="11"/>
      <c r="E438" s="11"/>
      <c r="F438" s="11"/>
      <c r="G438" s="12"/>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3" t="str">
        <f t="shared" si="18"/>
        <v/>
      </c>
      <c r="AL438" s="11"/>
      <c r="AM438" s="11" t="str">
        <f t="shared" si="19"/>
        <v/>
      </c>
      <c r="AN438" s="11"/>
      <c r="AO438" s="11"/>
      <c r="AP438" s="11"/>
      <c r="AQ438" s="12"/>
      <c r="AR438" s="12" t="str">
        <f t="shared" si="20"/>
        <v/>
      </c>
      <c r="AS438" s="11"/>
    </row>
    <row r="439" spans="1:45" x14ac:dyDescent="0.2">
      <c r="A439" s="11"/>
      <c r="B439" s="11"/>
      <c r="C439" s="11"/>
      <c r="D439" s="11"/>
      <c r="E439" s="11"/>
      <c r="F439" s="11"/>
      <c r="G439" s="12"/>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3" t="str">
        <f t="shared" si="18"/>
        <v/>
      </c>
      <c r="AL439" s="11"/>
      <c r="AM439" s="11" t="str">
        <f t="shared" si="19"/>
        <v/>
      </c>
      <c r="AN439" s="11"/>
      <c r="AO439" s="11"/>
      <c r="AP439" s="11"/>
      <c r="AQ439" s="12"/>
      <c r="AR439" s="12" t="str">
        <f t="shared" si="20"/>
        <v/>
      </c>
      <c r="AS439" s="11"/>
    </row>
    <row r="440" spans="1:45" x14ac:dyDescent="0.2">
      <c r="A440" s="11"/>
      <c r="B440" s="11"/>
      <c r="C440" s="11"/>
      <c r="D440" s="11"/>
      <c r="E440" s="11"/>
      <c r="F440" s="11"/>
      <c r="G440" s="12"/>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3" t="str">
        <f t="shared" si="18"/>
        <v/>
      </c>
      <c r="AL440" s="11"/>
      <c r="AM440" s="11" t="str">
        <f t="shared" si="19"/>
        <v/>
      </c>
      <c r="AN440" s="11"/>
      <c r="AO440" s="11"/>
      <c r="AP440" s="11"/>
      <c r="AQ440" s="12"/>
      <c r="AR440" s="12" t="str">
        <f t="shared" si="20"/>
        <v/>
      </c>
      <c r="AS440" s="11"/>
    </row>
    <row r="441" spans="1:45" x14ac:dyDescent="0.2">
      <c r="A441" s="11"/>
      <c r="B441" s="11"/>
      <c r="C441" s="11"/>
      <c r="D441" s="11"/>
      <c r="E441" s="11"/>
      <c r="F441" s="11"/>
      <c r="G441" s="12"/>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3" t="str">
        <f t="shared" si="18"/>
        <v/>
      </c>
      <c r="AL441" s="11"/>
      <c r="AM441" s="11" t="str">
        <f t="shared" si="19"/>
        <v/>
      </c>
      <c r="AN441" s="11"/>
      <c r="AO441" s="11"/>
      <c r="AP441" s="11"/>
      <c r="AQ441" s="12"/>
      <c r="AR441" s="12" t="str">
        <f t="shared" si="20"/>
        <v/>
      </c>
      <c r="AS441" s="11"/>
    </row>
    <row r="442" spans="1:45" x14ac:dyDescent="0.2">
      <c r="A442" s="11"/>
      <c r="B442" s="11"/>
      <c r="C442" s="11"/>
      <c r="D442" s="11"/>
      <c r="E442" s="11"/>
      <c r="F442" s="11"/>
      <c r="G442" s="12"/>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3" t="str">
        <f t="shared" si="18"/>
        <v/>
      </c>
      <c r="AL442" s="11"/>
      <c r="AM442" s="11" t="str">
        <f t="shared" si="19"/>
        <v/>
      </c>
      <c r="AN442" s="11"/>
      <c r="AO442" s="11"/>
      <c r="AP442" s="11"/>
      <c r="AQ442" s="12"/>
      <c r="AR442" s="12" t="str">
        <f t="shared" si="20"/>
        <v/>
      </c>
      <c r="AS442" s="11"/>
    </row>
    <row r="443" spans="1:45" x14ac:dyDescent="0.2">
      <c r="A443" s="11"/>
      <c r="B443" s="11"/>
      <c r="C443" s="11"/>
      <c r="D443" s="11"/>
      <c r="E443" s="11"/>
      <c r="F443" s="11"/>
      <c r="G443" s="12"/>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3" t="str">
        <f t="shared" si="18"/>
        <v/>
      </c>
      <c r="AL443" s="11"/>
      <c r="AM443" s="11" t="str">
        <f t="shared" si="19"/>
        <v/>
      </c>
      <c r="AN443" s="11"/>
      <c r="AO443" s="11"/>
      <c r="AP443" s="11"/>
      <c r="AQ443" s="12"/>
      <c r="AR443" s="12" t="str">
        <f t="shared" si="20"/>
        <v/>
      </c>
      <c r="AS443" s="11"/>
    </row>
    <row r="444" spans="1:45" x14ac:dyDescent="0.2">
      <c r="A444" s="11"/>
      <c r="B444" s="11"/>
      <c r="C444" s="11"/>
      <c r="D444" s="11"/>
      <c r="E444" s="11"/>
      <c r="F444" s="11"/>
      <c r="G444" s="12"/>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3" t="str">
        <f t="shared" si="18"/>
        <v/>
      </c>
      <c r="AL444" s="11"/>
      <c r="AM444" s="11" t="str">
        <f t="shared" si="19"/>
        <v/>
      </c>
      <c r="AN444" s="11"/>
      <c r="AO444" s="11"/>
      <c r="AP444" s="11"/>
      <c r="AQ444" s="12"/>
      <c r="AR444" s="12" t="str">
        <f t="shared" si="20"/>
        <v/>
      </c>
      <c r="AS444" s="11"/>
    </row>
    <row r="445" spans="1:45" x14ac:dyDescent="0.2">
      <c r="A445" s="11"/>
      <c r="B445" s="11"/>
      <c r="C445" s="11"/>
      <c r="D445" s="11"/>
      <c r="E445" s="11"/>
      <c r="F445" s="11"/>
      <c r="G445" s="12"/>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3" t="str">
        <f t="shared" si="18"/>
        <v/>
      </c>
      <c r="AL445" s="11"/>
      <c r="AM445" s="11" t="str">
        <f t="shared" si="19"/>
        <v/>
      </c>
      <c r="AN445" s="11"/>
      <c r="AO445" s="11"/>
      <c r="AP445" s="11"/>
      <c r="AQ445" s="12"/>
      <c r="AR445" s="12" t="str">
        <f t="shared" si="20"/>
        <v/>
      </c>
      <c r="AS445" s="11"/>
    </row>
    <row r="446" spans="1:45" x14ac:dyDescent="0.2">
      <c r="A446" s="11"/>
      <c r="B446" s="11"/>
      <c r="C446" s="11"/>
      <c r="D446" s="11"/>
      <c r="E446" s="11"/>
      <c r="F446" s="11"/>
      <c r="G446" s="12"/>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3" t="str">
        <f t="shared" si="18"/>
        <v/>
      </c>
      <c r="AL446" s="11"/>
      <c r="AM446" s="11" t="str">
        <f t="shared" si="19"/>
        <v/>
      </c>
      <c r="AN446" s="11"/>
      <c r="AO446" s="11"/>
      <c r="AP446" s="11"/>
      <c r="AQ446" s="12"/>
      <c r="AR446" s="12" t="str">
        <f t="shared" si="20"/>
        <v/>
      </c>
      <c r="AS446" s="11"/>
    </row>
    <row r="447" spans="1:45" x14ac:dyDescent="0.2">
      <c r="A447" s="11"/>
      <c r="B447" s="11"/>
      <c r="C447" s="11"/>
      <c r="D447" s="11"/>
      <c r="E447" s="11"/>
      <c r="F447" s="11"/>
      <c r="G447" s="12"/>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3" t="str">
        <f t="shared" si="18"/>
        <v/>
      </c>
      <c r="AL447" s="11"/>
      <c r="AM447" s="11" t="str">
        <f t="shared" si="19"/>
        <v/>
      </c>
      <c r="AN447" s="11"/>
      <c r="AO447" s="11"/>
      <c r="AP447" s="11"/>
      <c r="AQ447" s="12"/>
      <c r="AR447" s="12" t="str">
        <f t="shared" si="20"/>
        <v/>
      </c>
      <c r="AS447" s="11"/>
    </row>
    <row r="448" spans="1:45" x14ac:dyDescent="0.2">
      <c r="A448" s="11"/>
      <c r="B448" s="11"/>
      <c r="C448" s="11"/>
      <c r="D448" s="11"/>
      <c r="E448" s="11"/>
      <c r="F448" s="11"/>
      <c r="G448" s="12"/>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3" t="str">
        <f t="shared" si="18"/>
        <v/>
      </c>
      <c r="AL448" s="11"/>
      <c r="AM448" s="11" t="str">
        <f t="shared" si="19"/>
        <v/>
      </c>
      <c r="AN448" s="11"/>
      <c r="AO448" s="11"/>
      <c r="AP448" s="11"/>
      <c r="AQ448" s="12"/>
      <c r="AR448" s="12" t="str">
        <f t="shared" si="20"/>
        <v/>
      </c>
      <c r="AS448" s="11"/>
    </row>
    <row r="449" spans="1:45" x14ac:dyDescent="0.2">
      <c r="A449" s="11"/>
      <c r="B449" s="11"/>
      <c r="C449" s="11"/>
      <c r="D449" s="11"/>
      <c r="E449" s="11"/>
      <c r="F449" s="11"/>
      <c r="G449" s="12"/>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3" t="str">
        <f t="shared" si="18"/>
        <v/>
      </c>
      <c r="AL449" s="11"/>
      <c r="AM449" s="11" t="str">
        <f t="shared" si="19"/>
        <v/>
      </c>
      <c r="AN449" s="11"/>
      <c r="AO449" s="11"/>
      <c r="AP449" s="11"/>
      <c r="AQ449" s="12"/>
      <c r="AR449" s="12" t="str">
        <f t="shared" si="20"/>
        <v/>
      </c>
      <c r="AS449" s="11"/>
    </row>
    <row r="450" spans="1:45" x14ac:dyDescent="0.2">
      <c r="A450" s="11"/>
      <c r="B450" s="11"/>
      <c r="C450" s="11"/>
      <c r="D450" s="11"/>
      <c r="E450" s="11"/>
      <c r="F450" s="11"/>
      <c r="G450" s="12"/>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3" t="str">
        <f t="shared" si="18"/>
        <v/>
      </c>
      <c r="AL450" s="11"/>
      <c r="AM450" s="11" t="str">
        <f t="shared" si="19"/>
        <v/>
      </c>
      <c r="AN450" s="11"/>
      <c r="AO450" s="11"/>
      <c r="AP450" s="11"/>
      <c r="AQ450" s="12"/>
      <c r="AR450" s="12" t="str">
        <f t="shared" si="20"/>
        <v/>
      </c>
      <c r="AS450" s="11"/>
    </row>
    <row r="451" spans="1:45" x14ac:dyDescent="0.2">
      <c r="A451" s="11"/>
      <c r="B451" s="11"/>
      <c r="C451" s="11"/>
      <c r="D451" s="11"/>
      <c r="E451" s="11"/>
      <c r="F451" s="11"/>
      <c r="G451" s="12"/>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3" t="str">
        <f t="shared" si="18"/>
        <v/>
      </c>
      <c r="AL451" s="11"/>
      <c r="AM451" s="11" t="str">
        <f t="shared" si="19"/>
        <v/>
      </c>
      <c r="AN451" s="11"/>
      <c r="AO451" s="11"/>
      <c r="AP451" s="11"/>
      <c r="AQ451" s="12"/>
      <c r="AR451" s="12" t="str">
        <f t="shared" si="20"/>
        <v/>
      </c>
      <c r="AS451" s="11"/>
    </row>
    <row r="452" spans="1:45" x14ac:dyDescent="0.2">
      <c r="A452" s="11"/>
      <c r="B452" s="11"/>
      <c r="C452" s="11"/>
      <c r="D452" s="11"/>
      <c r="E452" s="11"/>
      <c r="F452" s="11"/>
      <c r="G452" s="12"/>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3" t="str">
        <f t="shared" si="18"/>
        <v/>
      </c>
      <c r="AL452" s="11"/>
      <c r="AM452" s="11" t="str">
        <f t="shared" si="19"/>
        <v/>
      </c>
      <c r="AN452" s="11"/>
      <c r="AO452" s="11"/>
      <c r="AP452" s="11"/>
      <c r="AQ452" s="12"/>
      <c r="AR452" s="12" t="str">
        <f t="shared" si="20"/>
        <v/>
      </c>
      <c r="AS452" s="11"/>
    </row>
    <row r="453" spans="1:45" x14ac:dyDescent="0.2">
      <c r="A453" s="11"/>
      <c r="B453" s="11"/>
      <c r="C453" s="11"/>
      <c r="D453" s="11"/>
      <c r="E453" s="11"/>
      <c r="F453" s="11"/>
      <c r="G453" s="12"/>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3" t="str">
        <f t="shared" ref="AK453:AK505" si="21">IF(C453="","",(B453="")+(C453="")+(D453="")+(E453="")+(F453="")+(H453="")+(I453="")+(J453="")+(L453="")+(M453="")+(Q453="")+(S453="")+(T453="")+(U453="")+(V453="")+(W453="")+(Y453="")+(Z453="")+(AB453="")+(AD453="")+(AE453="")+(AF453="")+(AI453=""))</f>
        <v/>
      </c>
      <c r="AL453" s="11"/>
      <c r="AM453" s="11" t="str">
        <f t="shared" ref="AM453:AM505" si="22">IF(C453="","",IF(OR(T453="Yes",W453="Yes",Y453="Yes",AE453="Yes",AF453="Fully automated"),"Review for High","-"))</f>
        <v/>
      </c>
      <c r="AN453" s="11"/>
      <c r="AO453" s="11"/>
      <c r="AP453" s="11"/>
      <c r="AQ453" s="12"/>
      <c r="AR453" s="12" t="str">
        <f t="shared" ref="AR453:AR505" si="23">IF(OR(AN453="",AQ453=""),"",IF(AN453="High",EDATE(AQ453,3),IF(AN453="Medium",EDATE(AQ453,12),"On material change")))</f>
        <v/>
      </c>
      <c r="AS453" s="11"/>
    </row>
    <row r="454" spans="1:45" x14ac:dyDescent="0.2">
      <c r="A454" s="11"/>
      <c r="B454" s="11"/>
      <c r="C454" s="11"/>
      <c r="D454" s="11"/>
      <c r="E454" s="11"/>
      <c r="F454" s="11"/>
      <c r="G454" s="12"/>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3" t="str">
        <f t="shared" si="21"/>
        <v/>
      </c>
      <c r="AL454" s="11"/>
      <c r="AM454" s="11" t="str">
        <f t="shared" si="22"/>
        <v/>
      </c>
      <c r="AN454" s="11"/>
      <c r="AO454" s="11"/>
      <c r="AP454" s="11"/>
      <c r="AQ454" s="12"/>
      <c r="AR454" s="12" t="str">
        <f t="shared" si="23"/>
        <v/>
      </c>
      <c r="AS454" s="11"/>
    </row>
    <row r="455" spans="1:45" x14ac:dyDescent="0.2">
      <c r="A455" s="11"/>
      <c r="B455" s="11"/>
      <c r="C455" s="11"/>
      <c r="D455" s="11"/>
      <c r="E455" s="11"/>
      <c r="F455" s="11"/>
      <c r="G455" s="12"/>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3" t="str">
        <f t="shared" si="21"/>
        <v/>
      </c>
      <c r="AL455" s="11"/>
      <c r="AM455" s="11" t="str">
        <f t="shared" si="22"/>
        <v/>
      </c>
      <c r="AN455" s="11"/>
      <c r="AO455" s="11"/>
      <c r="AP455" s="11"/>
      <c r="AQ455" s="12"/>
      <c r="AR455" s="12" t="str">
        <f t="shared" si="23"/>
        <v/>
      </c>
      <c r="AS455" s="11"/>
    </row>
    <row r="456" spans="1:45" x14ac:dyDescent="0.2">
      <c r="A456" s="11"/>
      <c r="B456" s="11"/>
      <c r="C456" s="11"/>
      <c r="D456" s="11"/>
      <c r="E456" s="11"/>
      <c r="F456" s="11"/>
      <c r="G456" s="12"/>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3" t="str">
        <f t="shared" si="21"/>
        <v/>
      </c>
      <c r="AL456" s="11"/>
      <c r="AM456" s="11" t="str">
        <f t="shared" si="22"/>
        <v/>
      </c>
      <c r="AN456" s="11"/>
      <c r="AO456" s="11"/>
      <c r="AP456" s="11"/>
      <c r="AQ456" s="12"/>
      <c r="AR456" s="12" t="str">
        <f t="shared" si="23"/>
        <v/>
      </c>
      <c r="AS456" s="11"/>
    </row>
    <row r="457" spans="1:45" x14ac:dyDescent="0.2">
      <c r="A457" s="11"/>
      <c r="B457" s="11"/>
      <c r="C457" s="11"/>
      <c r="D457" s="11"/>
      <c r="E457" s="11"/>
      <c r="F457" s="11"/>
      <c r="G457" s="12"/>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3" t="str">
        <f t="shared" si="21"/>
        <v/>
      </c>
      <c r="AL457" s="11"/>
      <c r="AM457" s="11" t="str">
        <f t="shared" si="22"/>
        <v/>
      </c>
      <c r="AN457" s="11"/>
      <c r="AO457" s="11"/>
      <c r="AP457" s="11"/>
      <c r="AQ457" s="12"/>
      <c r="AR457" s="12" t="str">
        <f t="shared" si="23"/>
        <v/>
      </c>
      <c r="AS457" s="11"/>
    </row>
    <row r="458" spans="1:45" x14ac:dyDescent="0.2">
      <c r="A458" s="11"/>
      <c r="B458" s="11"/>
      <c r="C458" s="11"/>
      <c r="D458" s="11"/>
      <c r="E458" s="11"/>
      <c r="F458" s="11"/>
      <c r="G458" s="12"/>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3" t="str">
        <f t="shared" si="21"/>
        <v/>
      </c>
      <c r="AL458" s="11"/>
      <c r="AM458" s="11" t="str">
        <f t="shared" si="22"/>
        <v/>
      </c>
      <c r="AN458" s="11"/>
      <c r="AO458" s="11"/>
      <c r="AP458" s="11"/>
      <c r="AQ458" s="12"/>
      <c r="AR458" s="12" t="str">
        <f t="shared" si="23"/>
        <v/>
      </c>
      <c r="AS458" s="11"/>
    </row>
    <row r="459" spans="1:45" x14ac:dyDescent="0.2">
      <c r="A459" s="11"/>
      <c r="B459" s="11"/>
      <c r="C459" s="11"/>
      <c r="D459" s="11"/>
      <c r="E459" s="11"/>
      <c r="F459" s="11"/>
      <c r="G459" s="12"/>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3" t="str">
        <f t="shared" si="21"/>
        <v/>
      </c>
      <c r="AL459" s="11"/>
      <c r="AM459" s="11" t="str">
        <f t="shared" si="22"/>
        <v/>
      </c>
      <c r="AN459" s="11"/>
      <c r="AO459" s="11"/>
      <c r="AP459" s="11"/>
      <c r="AQ459" s="12"/>
      <c r="AR459" s="12" t="str">
        <f t="shared" si="23"/>
        <v/>
      </c>
      <c r="AS459" s="11"/>
    </row>
    <row r="460" spans="1:45" x14ac:dyDescent="0.2">
      <c r="A460" s="11"/>
      <c r="B460" s="11"/>
      <c r="C460" s="11"/>
      <c r="D460" s="11"/>
      <c r="E460" s="11"/>
      <c r="F460" s="11"/>
      <c r="G460" s="12"/>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3" t="str">
        <f t="shared" si="21"/>
        <v/>
      </c>
      <c r="AL460" s="11"/>
      <c r="AM460" s="11" t="str">
        <f t="shared" si="22"/>
        <v/>
      </c>
      <c r="AN460" s="11"/>
      <c r="AO460" s="11"/>
      <c r="AP460" s="11"/>
      <c r="AQ460" s="12"/>
      <c r="AR460" s="12" t="str">
        <f t="shared" si="23"/>
        <v/>
      </c>
      <c r="AS460" s="11"/>
    </row>
    <row r="461" spans="1:45" x14ac:dyDescent="0.2">
      <c r="A461" s="11"/>
      <c r="B461" s="11"/>
      <c r="C461" s="11"/>
      <c r="D461" s="11"/>
      <c r="E461" s="11"/>
      <c r="F461" s="11"/>
      <c r="G461" s="12"/>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3" t="str">
        <f t="shared" si="21"/>
        <v/>
      </c>
      <c r="AL461" s="11"/>
      <c r="AM461" s="11" t="str">
        <f t="shared" si="22"/>
        <v/>
      </c>
      <c r="AN461" s="11"/>
      <c r="AO461" s="11"/>
      <c r="AP461" s="11"/>
      <c r="AQ461" s="12"/>
      <c r="AR461" s="12" t="str">
        <f t="shared" si="23"/>
        <v/>
      </c>
      <c r="AS461" s="11"/>
    </row>
    <row r="462" spans="1:45" x14ac:dyDescent="0.2">
      <c r="A462" s="11"/>
      <c r="B462" s="11"/>
      <c r="C462" s="11"/>
      <c r="D462" s="11"/>
      <c r="E462" s="11"/>
      <c r="F462" s="11"/>
      <c r="G462" s="12"/>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3" t="str">
        <f t="shared" si="21"/>
        <v/>
      </c>
      <c r="AL462" s="11"/>
      <c r="AM462" s="11" t="str">
        <f t="shared" si="22"/>
        <v/>
      </c>
      <c r="AN462" s="11"/>
      <c r="AO462" s="11"/>
      <c r="AP462" s="11"/>
      <c r="AQ462" s="12"/>
      <c r="AR462" s="12" t="str">
        <f t="shared" si="23"/>
        <v/>
      </c>
      <c r="AS462" s="11"/>
    </row>
    <row r="463" spans="1:45" x14ac:dyDescent="0.2">
      <c r="A463" s="11"/>
      <c r="B463" s="11"/>
      <c r="C463" s="11"/>
      <c r="D463" s="11"/>
      <c r="E463" s="11"/>
      <c r="F463" s="11"/>
      <c r="G463" s="12"/>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3" t="str">
        <f t="shared" si="21"/>
        <v/>
      </c>
      <c r="AL463" s="11"/>
      <c r="AM463" s="11" t="str">
        <f t="shared" si="22"/>
        <v/>
      </c>
      <c r="AN463" s="11"/>
      <c r="AO463" s="11"/>
      <c r="AP463" s="11"/>
      <c r="AQ463" s="12"/>
      <c r="AR463" s="12" t="str">
        <f t="shared" si="23"/>
        <v/>
      </c>
      <c r="AS463" s="11"/>
    </row>
    <row r="464" spans="1:45" x14ac:dyDescent="0.2">
      <c r="A464" s="11"/>
      <c r="B464" s="11"/>
      <c r="C464" s="11"/>
      <c r="D464" s="11"/>
      <c r="E464" s="11"/>
      <c r="F464" s="11"/>
      <c r="G464" s="12"/>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3" t="str">
        <f t="shared" si="21"/>
        <v/>
      </c>
      <c r="AL464" s="11"/>
      <c r="AM464" s="11" t="str">
        <f t="shared" si="22"/>
        <v/>
      </c>
      <c r="AN464" s="11"/>
      <c r="AO464" s="11"/>
      <c r="AP464" s="11"/>
      <c r="AQ464" s="12"/>
      <c r="AR464" s="12" t="str">
        <f t="shared" si="23"/>
        <v/>
      </c>
      <c r="AS464" s="11"/>
    </row>
    <row r="465" spans="1:45" x14ac:dyDescent="0.2">
      <c r="A465" s="11"/>
      <c r="B465" s="11"/>
      <c r="C465" s="11"/>
      <c r="D465" s="11"/>
      <c r="E465" s="11"/>
      <c r="F465" s="11"/>
      <c r="G465" s="12"/>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3" t="str">
        <f t="shared" si="21"/>
        <v/>
      </c>
      <c r="AL465" s="11"/>
      <c r="AM465" s="11" t="str">
        <f t="shared" si="22"/>
        <v/>
      </c>
      <c r="AN465" s="11"/>
      <c r="AO465" s="11"/>
      <c r="AP465" s="11"/>
      <c r="AQ465" s="12"/>
      <c r="AR465" s="12" t="str">
        <f t="shared" si="23"/>
        <v/>
      </c>
      <c r="AS465" s="11"/>
    </row>
    <row r="466" spans="1:45" x14ac:dyDescent="0.2">
      <c r="A466" s="11"/>
      <c r="B466" s="11"/>
      <c r="C466" s="11"/>
      <c r="D466" s="11"/>
      <c r="E466" s="11"/>
      <c r="F466" s="11"/>
      <c r="G466" s="12"/>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3" t="str">
        <f t="shared" si="21"/>
        <v/>
      </c>
      <c r="AL466" s="11"/>
      <c r="AM466" s="11" t="str">
        <f t="shared" si="22"/>
        <v/>
      </c>
      <c r="AN466" s="11"/>
      <c r="AO466" s="11"/>
      <c r="AP466" s="11"/>
      <c r="AQ466" s="12"/>
      <c r="AR466" s="12" t="str">
        <f t="shared" si="23"/>
        <v/>
      </c>
      <c r="AS466" s="11"/>
    </row>
    <row r="467" spans="1:45" x14ac:dyDescent="0.2">
      <c r="A467" s="11"/>
      <c r="B467" s="11"/>
      <c r="C467" s="11"/>
      <c r="D467" s="11"/>
      <c r="E467" s="11"/>
      <c r="F467" s="11"/>
      <c r="G467" s="12"/>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3" t="str">
        <f t="shared" si="21"/>
        <v/>
      </c>
      <c r="AL467" s="11"/>
      <c r="AM467" s="11" t="str">
        <f t="shared" si="22"/>
        <v/>
      </c>
      <c r="AN467" s="11"/>
      <c r="AO467" s="11"/>
      <c r="AP467" s="11"/>
      <c r="AQ467" s="12"/>
      <c r="AR467" s="12" t="str">
        <f t="shared" si="23"/>
        <v/>
      </c>
      <c r="AS467" s="11"/>
    </row>
    <row r="468" spans="1:45" x14ac:dyDescent="0.2">
      <c r="A468" s="11"/>
      <c r="B468" s="11"/>
      <c r="C468" s="11"/>
      <c r="D468" s="11"/>
      <c r="E468" s="11"/>
      <c r="F468" s="11"/>
      <c r="G468" s="12"/>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3" t="str">
        <f t="shared" si="21"/>
        <v/>
      </c>
      <c r="AL468" s="11"/>
      <c r="AM468" s="11" t="str">
        <f t="shared" si="22"/>
        <v/>
      </c>
      <c r="AN468" s="11"/>
      <c r="AO468" s="11"/>
      <c r="AP468" s="11"/>
      <c r="AQ468" s="12"/>
      <c r="AR468" s="12" t="str">
        <f t="shared" si="23"/>
        <v/>
      </c>
      <c r="AS468" s="11"/>
    </row>
    <row r="469" spans="1:45" x14ac:dyDescent="0.2">
      <c r="A469" s="11"/>
      <c r="B469" s="11"/>
      <c r="C469" s="11"/>
      <c r="D469" s="11"/>
      <c r="E469" s="11"/>
      <c r="F469" s="11"/>
      <c r="G469" s="12"/>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3" t="str">
        <f t="shared" si="21"/>
        <v/>
      </c>
      <c r="AL469" s="11"/>
      <c r="AM469" s="11" t="str">
        <f t="shared" si="22"/>
        <v/>
      </c>
      <c r="AN469" s="11"/>
      <c r="AO469" s="11"/>
      <c r="AP469" s="11"/>
      <c r="AQ469" s="12"/>
      <c r="AR469" s="12" t="str">
        <f t="shared" si="23"/>
        <v/>
      </c>
      <c r="AS469" s="11"/>
    </row>
    <row r="470" spans="1:45" x14ac:dyDescent="0.2">
      <c r="A470" s="11"/>
      <c r="B470" s="11"/>
      <c r="C470" s="11"/>
      <c r="D470" s="11"/>
      <c r="E470" s="11"/>
      <c r="F470" s="11"/>
      <c r="G470" s="12"/>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3" t="str">
        <f t="shared" si="21"/>
        <v/>
      </c>
      <c r="AL470" s="11"/>
      <c r="AM470" s="11" t="str">
        <f t="shared" si="22"/>
        <v/>
      </c>
      <c r="AN470" s="11"/>
      <c r="AO470" s="11"/>
      <c r="AP470" s="11"/>
      <c r="AQ470" s="12"/>
      <c r="AR470" s="12" t="str">
        <f t="shared" si="23"/>
        <v/>
      </c>
      <c r="AS470" s="11"/>
    </row>
    <row r="471" spans="1:45" x14ac:dyDescent="0.2">
      <c r="A471" s="11"/>
      <c r="B471" s="11"/>
      <c r="C471" s="11"/>
      <c r="D471" s="11"/>
      <c r="E471" s="11"/>
      <c r="F471" s="11"/>
      <c r="G471" s="12"/>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3" t="str">
        <f t="shared" si="21"/>
        <v/>
      </c>
      <c r="AL471" s="11"/>
      <c r="AM471" s="11" t="str">
        <f t="shared" si="22"/>
        <v/>
      </c>
      <c r="AN471" s="11"/>
      <c r="AO471" s="11"/>
      <c r="AP471" s="11"/>
      <c r="AQ471" s="12"/>
      <c r="AR471" s="12" t="str">
        <f t="shared" si="23"/>
        <v/>
      </c>
      <c r="AS471" s="11"/>
    </row>
    <row r="472" spans="1:45" x14ac:dyDescent="0.2">
      <c r="A472" s="11"/>
      <c r="B472" s="11"/>
      <c r="C472" s="11"/>
      <c r="D472" s="11"/>
      <c r="E472" s="11"/>
      <c r="F472" s="11"/>
      <c r="G472" s="12"/>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3" t="str">
        <f t="shared" si="21"/>
        <v/>
      </c>
      <c r="AL472" s="11"/>
      <c r="AM472" s="11" t="str">
        <f t="shared" si="22"/>
        <v/>
      </c>
      <c r="AN472" s="11"/>
      <c r="AO472" s="11"/>
      <c r="AP472" s="11"/>
      <c r="AQ472" s="12"/>
      <c r="AR472" s="12" t="str">
        <f t="shared" si="23"/>
        <v/>
      </c>
      <c r="AS472" s="11"/>
    </row>
    <row r="473" spans="1:45" x14ac:dyDescent="0.2">
      <c r="A473" s="11"/>
      <c r="B473" s="11"/>
      <c r="C473" s="11"/>
      <c r="D473" s="11"/>
      <c r="E473" s="11"/>
      <c r="F473" s="11"/>
      <c r="G473" s="12"/>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3" t="str">
        <f t="shared" si="21"/>
        <v/>
      </c>
      <c r="AL473" s="11"/>
      <c r="AM473" s="11" t="str">
        <f t="shared" si="22"/>
        <v/>
      </c>
      <c r="AN473" s="11"/>
      <c r="AO473" s="11"/>
      <c r="AP473" s="11"/>
      <c r="AQ473" s="12"/>
      <c r="AR473" s="12" t="str">
        <f t="shared" si="23"/>
        <v/>
      </c>
      <c r="AS473" s="11"/>
    </row>
    <row r="474" spans="1:45" x14ac:dyDescent="0.2">
      <c r="A474" s="11"/>
      <c r="B474" s="11"/>
      <c r="C474" s="11"/>
      <c r="D474" s="11"/>
      <c r="E474" s="11"/>
      <c r="F474" s="11"/>
      <c r="G474" s="12"/>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3" t="str">
        <f t="shared" si="21"/>
        <v/>
      </c>
      <c r="AL474" s="11"/>
      <c r="AM474" s="11" t="str">
        <f t="shared" si="22"/>
        <v/>
      </c>
      <c r="AN474" s="11"/>
      <c r="AO474" s="11"/>
      <c r="AP474" s="11"/>
      <c r="AQ474" s="12"/>
      <c r="AR474" s="12" t="str">
        <f t="shared" si="23"/>
        <v/>
      </c>
      <c r="AS474" s="11"/>
    </row>
    <row r="475" spans="1:45" x14ac:dyDescent="0.2">
      <c r="A475" s="11"/>
      <c r="B475" s="11"/>
      <c r="C475" s="11"/>
      <c r="D475" s="11"/>
      <c r="E475" s="11"/>
      <c r="F475" s="11"/>
      <c r="G475" s="12"/>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3" t="str">
        <f t="shared" si="21"/>
        <v/>
      </c>
      <c r="AL475" s="11"/>
      <c r="AM475" s="11" t="str">
        <f t="shared" si="22"/>
        <v/>
      </c>
      <c r="AN475" s="11"/>
      <c r="AO475" s="11"/>
      <c r="AP475" s="11"/>
      <c r="AQ475" s="12"/>
      <c r="AR475" s="12" t="str">
        <f t="shared" si="23"/>
        <v/>
      </c>
      <c r="AS475" s="11"/>
    </row>
    <row r="476" spans="1:45" x14ac:dyDescent="0.2">
      <c r="A476" s="11"/>
      <c r="B476" s="11"/>
      <c r="C476" s="11"/>
      <c r="D476" s="11"/>
      <c r="E476" s="11"/>
      <c r="F476" s="11"/>
      <c r="G476" s="12"/>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3" t="str">
        <f t="shared" si="21"/>
        <v/>
      </c>
      <c r="AL476" s="11"/>
      <c r="AM476" s="11" t="str">
        <f t="shared" si="22"/>
        <v/>
      </c>
      <c r="AN476" s="11"/>
      <c r="AO476" s="11"/>
      <c r="AP476" s="11"/>
      <c r="AQ476" s="12"/>
      <c r="AR476" s="12" t="str">
        <f t="shared" si="23"/>
        <v/>
      </c>
      <c r="AS476" s="11"/>
    </row>
    <row r="477" spans="1:45" x14ac:dyDescent="0.2">
      <c r="A477" s="11"/>
      <c r="B477" s="11"/>
      <c r="C477" s="11"/>
      <c r="D477" s="11"/>
      <c r="E477" s="11"/>
      <c r="F477" s="11"/>
      <c r="G477" s="12"/>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3" t="str">
        <f t="shared" si="21"/>
        <v/>
      </c>
      <c r="AL477" s="11"/>
      <c r="AM477" s="11" t="str">
        <f t="shared" si="22"/>
        <v/>
      </c>
      <c r="AN477" s="11"/>
      <c r="AO477" s="11"/>
      <c r="AP477" s="11"/>
      <c r="AQ477" s="12"/>
      <c r="AR477" s="12" t="str">
        <f t="shared" si="23"/>
        <v/>
      </c>
      <c r="AS477" s="11"/>
    </row>
    <row r="478" spans="1:45" x14ac:dyDescent="0.2">
      <c r="A478" s="11"/>
      <c r="B478" s="11"/>
      <c r="C478" s="11"/>
      <c r="D478" s="11"/>
      <c r="E478" s="11"/>
      <c r="F478" s="11"/>
      <c r="G478" s="12"/>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3" t="str">
        <f t="shared" si="21"/>
        <v/>
      </c>
      <c r="AL478" s="11"/>
      <c r="AM478" s="11" t="str">
        <f t="shared" si="22"/>
        <v/>
      </c>
      <c r="AN478" s="11"/>
      <c r="AO478" s="11"/>
      <c r="AP478" s="11"/>
      <c r="AQ478" s="12"/>
      <c r="AR478" s="12" t="str">
        <f t="shared" si="23"/>
        <v/>
      </c>
      <c r="AS478" s="11"/>
    </row>
    <row r="479" spans="1:45" x14ac:dyDescent="0.2">
      <c r="A479" s="11"/>
      <c r="B479" s="11"/>
      <c r="C479" s="11"/>
      <c r="D479" s="11"/>
      <c r="E479" s="11"/>
      <c r="F479" s="11"/>
      <c r="G479" s="12"/>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3" t="str">
        <f t="shared" si="21"/>
        <v/>
      </c>
      <c r="AL479" s="11"/>
      <c r="AM479" s="11" t="str">
        <f t="shared" si="22"/>
        <v/>
      </c>
      <c r="AN479" s="11"/>
      <c r="AO479" s="11"/>
      <c r="AP479" s="11"/>
      <c r="AQ479" s="12"/>
      <c r="AR479" s="12" t="str">
        <f t="shared" si="23"/>
        <v/>
      </c>
      <c r="AS479" s="11"/>
    </row>
    <row r="480" spans="1:45" x14ac:dyDescent="0.2">
      <c r="A480" s="11"/>
      <c r="B480" s="11"/>
      <c r="C480" s="11"/>
      <c r="D480" s="11"/>
      <c r="E480" s="11"/>
      <c r="F480" s="11"/>
      <c r="G480" s="12"/>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3" t="str">
        <f t="shared" si="21"/>
        <v/>
      </c>
      <c r="AL480" s="11"/>
      <c r="AM480" s="11" t="str">
        <f t="shared" si="22"/>
        <v/>
      </c>
      <c r="AN480" s="11"/>
      <c r="AO480" s="11"/>
      <c r="AP480" s="11"/>
      <c r="AQ480" s="12"/>
      <c r="AR480" s="12" t="str">
        <f t="shared" si="23"/>
        <v/>
      </c>
      <c r="AS480" s="11"/>
    </row>
    <row r="481" spans="1:45" x14ac:dyDescent="0.2">
      <c r="A481" s="11"/>
      <c r="B481" s="11"/>
      <c r="C481" s="11"/>
      <c r="D481" s="11"/>
      <c r="E481" s="11"/>
      <c r="F481" s="11"/>
      <c r="G481" s="12"/>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3" t="str">
        <f t="shared" si="21"/>
        <v/>
      </c>
      <c r="AL481" s="11"/>
      <c r="AM481" s="11" t="str">
        <f t="shared" si="22"/>
        <v/>
      </c>
      <c r="AN481" s="11"/>
      <c r="AO481" s="11"/>
      <c r="AP481" s="11"/>
      <c r="AQ481" s="12"/>
      <c r="AR481" s="12" t="str">
        <f t="shared" si="23"/>
        <v/>
      </c>
      <c r="AS481" s="11"/>
    </row>
    <row r="482" spans="1:45" x14ac:dyDescent="0.2">
      <c r="A482" s="11"/>
      <c r="B482" s="11"/>
      <c r="C482" s="11"/>
      <c r="D482" s="11"/>
      <c r="E482" s="11"/>
      <c r="F482" s="11"/>
      <c r="G482" s="12"/>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3" t="str">
        <f t="shared" si="21"/>
        <v/>
      </c>
      <c r="AL482" s="11"/>
      <c r="AM482" s="11" t="str">
        <f t="shared" si="22"/>
        <v/>
      </c>
      <c r="AN482" s="11"/>
      <c r="AO482" s="11"/>
      <c r="AP482" s="11"/>
      <c r="AQ482" s="12"/>
      <c r="AR482" s="12" t="str">
        <f t="shared" si="23"/>
        <v/>
      </c>
      <c r="AS482" s="11"/>
    </row>
    <row r="483" spans="1:45" x14ac:dyDescent="0.2">
      <c r="A483" s="11"/>
      <c r="B483" s="11"/>
      <c r="C483" s="11"/>
      <c r="D483" s="11"/>
      <c r="E483" s="11"/>
      <c r="F483" s="11"/>
      <c r="G483" s="12"/>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3" t="str">
        <f t="shared" si="21"/>
        <v/>
      </c>
      <c r="AL483" s="11"/>
      <c r="AM483" s="11" t="str">
        <f t="shared" si="22"/>
        <v/>
      </c>
      <c r="AN483" s="11"/>
      <c r="AO483" s="11"/>
      <c r="AP483" s="11"/>
      <c r="AQ483" s="12"/>
      <c r="AR483" s="12" t="str">
        <f t="shared" si="23"/>
        <v/>
      </c>
      <c r="AS483" s="11"/>
    </row>
    <row r="484" spans="1:45" x14ac:dyDescent="0.2">
      <c r="A484" s="11"/>
      <c r="B484" s="11"/>
      <c r="C484" s="11"/>
      <c r="D484" s="11"/>
      <c r="E484" s="11"/>
      <c r="F484" s="11"/>
      <c r="G484" s="12"/>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3" t="str">
        <f t="shared" si="21"/>
        <v/>
      </c>
      <c r="AL484" s="11"/>
      <c r="AM484" s="11" t="str">
        <f t="shared" si="22"/>
        <v/>
      </c>
      <c r="AN484" s="11"/>
      <c r="AO484" s="11"/>
      <c r="AP484" s="11"/>
      <c r="AQ484" s="12"/>
      <c r="AR484" s="12" t="str">
        <f t="shared" si="23"/>
        <v/>
      </c>
      <c r="AS484" s="11"/>
    </row>
    <row r="485" spans="1:45" x14ac:dyDescent="0.2">
      <c r="A485" s="11"/>
      <c r="B485" s="11"/>
      <c r="C485" s="11"/>
      <c r="D485" s="11"/>
      <c r="E485" s="11"/>
      <c r="F485" s="11"/>
      <c r="G485" s="12"/>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3" t="str">
        <f t="shared" si="21"/>
        <v/>
      </c>
      <c r="AL485" s="11"/>
      <c r="AM485" s="11" t="str">
        <f t="shared" si="22"/>
        <v/>
      </c>
      <c r="AN485" s="11"/>
      <c r="AO485" s="11"/>
      <c r="AP485" s="11"/>
      <c r="AQ485" s="12"/>
      <c r="AR485" s="12" t="str">
        <f t="shared" si="23"/>
        <v/>
      </c>
      <c r="AS485" s="11"/>
    </row>
    <row r="486" spans="1:45" x14ac:dyDescent="0.2">
      <c r="A486" s="11"/>
      <c r="B486" s="11"/>
      <c r="C486" s="11"/>
      <c r="D486" s="11"/>
      <c r="E486" s="11"/>
      <c r="F486" s="11"/>
      <c r="G486" s="12"/>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3" t="str">
        <f t="shared" si="21"/>
        <v/>
      </c>
      <c r="AL486" s="11"/>
      <c r="AM486" s="11" t="str">
        <f t="shared" si="22"/>
        <v/>
      </c>
      <c r="AN486" s="11"/>
      <c r="AO486" s="11"/>
      <c r="AP486" s="11"/>
      <c r="AQ486" s="12"/>
      <c r="AR486" s="12" t="str">
        <f t="shared" si="23"/>
        <v/>
      </c>
      <c r="AS486" s="11"/>
    </row>
    <row r="487" spans="1:45" x14ac:dyDescent="0.2">
      <c r="A487" s="11"/>
      <c r="B487" s="11"/>
      <c r="C487" s="11"/>
      <c r="D487" s="11"/>
      <c r="E487" s="11"/>
      <c r="F487" s="11"/>
      <c r="G487" s="12"/>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3" t="str">
        <f t="shared" si="21"/>
        <v/>
      </c>
      <c r="AL487" s="11"/>
      <c r="AM487" s="11" t="str">
        <f t="shared" si="22"/>
        <v/>
      </c>
      <c r="AN487" s="11"/>
      <c r="AO487" s="11"/>
      <c r="AP487" s="11"/>
      <c r="AQ487" s="12"/>
      <c r="AR487" s="12" t="str">
        <f t="shared" si="23"/>
        <v/>
      </c>
      <c r="AS487" s="11"/>
    </row>
    <row r="488" spans="1:45" x14ac:dyDescent="0.2">
      <c r="A488" s="11"/>
      <c r="B488" s="11"/>
      <c r="C488" s="11"/>
      <c r="D488" s="11"/>
      <c r="E488" s="11"/>
      <c r="F488" s="11"/>
      <c r="G488" s="12"/>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3" t="str">
        <f t="shared" si="21"/>
        <v/>
      </c>
      <c r="AL488" s="11"/>
      <c r="AM488" s="11" t="str">
        <f t="shared" si="22"/>
        <v/>
      </c>
      <c r="AN488" s="11"/>
      <c r="AO488" s="11"/>
      <c r="AP488" s="11"/>
      <c r="AQ488" s="12"/>
      <c r="AR488" s="12" t="str">
        <f t="shared" si="23"/>
        <v/>
      </c>
      <c r="AS488" s="11"/>
    </row>
    <row r="489" spans="1:45" x14ac:dyDescent="0.2">
      <c r="A489" s="11"/>
      <c r="B489" s="11"/>
      <c r="C489" s="11"/>
      <c r="D489" s="11"/>
      <c r="E489" s="11"/>
      <c r="F489" s="11"/>
      <c r="G489" s="12"/>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3" t="str">
        <f t="shared" si="21"/>
        <v/>
      </c>
      <c r="AL489" s="11"/>
      <c r="AM489" s="11" t="str">
        <f t="shared" si="22"/>
        <v/>
      </c>
      <c r="AN489" s="11"/>
      <c r="AO489" s="11"/>
      <c r="AP489" s="11"/>
      <c r="AQ489" s="12"/>
      <c r="AR489" s="12" t="str">
        <f t="shared" si="23"/>
        <v/>
      </c>
      <c r="AS489" s="11"/>
    </row>
    <row r="490" spans="1:45" x14ac:dyDescent="0.2">
      <c r="A490" s="11"/>
      <c r="B490" s="11"/>
      <c r="C490" s="11"/>
      <c r="D490" s="11"/>
      <c r="E490" s="11"/>
      <c r="F490" s="11"/>
      <c r="G490" s="12"/>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3" t="str">
        <f t="shared" si="21"/>
        <v/>
      </c>
      <c r="AL490" s="11"/>
      <c r="AM490" s="11" t="str">
        <f t="shared" si="22"/>
        <v/>
      </c>
      <c r="AN490" s="11"/>
      <c r="AO490" s="11"/>
      <c r="AP490" s="11"/>
      <c r="AQ490" s="12"/>
      <c r="AR490" s="12" t="str">
        <f t="shared" si="23"/>
        <v/>
      </c>
      <c r="AS490" s="11"/>
    </row>
    <row r="491" spans="1:45" x14ac:dyDescent="0.2">
      <c r="A491" s="11"/>
      <c r="B491" s="11"/>
      <c r="C491" s="11"/>
      <c r="D491" s="11"/>
      <c r="E491" s="11"/>
      <c r="F491" s="11"/>
      <c r="G491" s="12"/>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3" t="str">
        <f t="shared" si="21"/>
        <v/>
      </c>
      <c r="AL491" s="11"/>
      <c r="AM491" s="11" t="str">
        <f t="shared" si="22"/>
        <v/>
      </c>
      <c r="AN491" s="11"/>
      <c r="AO491" s="11"/>
      <c r="AP491" s="11"/>
      <c r="AQ491" s="12"/>
      <c r="AR491" s="12" t="str">
        <f t="shared" si="23"/>
        <v/>
      </c>
      <c r="AS491" s="11"/>
    </row>
    <row r="492" spans="1:45" x14ac:dyDescent="0.2">
      <c r="A492" s="11"/>
      <c r="B492" s="11"/>
      <c r="C492" s="11"/>
      <c r="D492" s="11"/>
      <c r="E492" s="11"/>
      <c r="F492" s="11"/>
      <c r="G492" s="12"/>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3" t="str">
        <f t="shared" si="21"/>
        <v/>
      </c>
      <c r="AL492" s="11"/>
      <c r="AM492" s="11" t="str">
        <f t="shared" si="22"/>
        <v/>
      </c>
      <c r="AN492" s="11"/>
      <c r="AO492" s="11"/>
      <c r="AP492" s="11"/>
      <c r="AQ492" s="12"/>
      <c r="AR492" s="12" t="str">
        <f t="shared" si="23"/>
        <v/>
      </c>
      <c r="AS492" s="11"/>
    </row>
    <row r="493" spans="1:45" x14ac:dyDescent="0.2">
      <c r="A493" s="11"/>
      <c r="B493" s="11"/>
      <c r="C493" s="11"/>
      <c r="D493" s="11"/>
      <c r="E493" s="11"/>
      <c r="F493" s="11"/>
      <c r="G493" s="12"/>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3" t="str">
        <f t="shared" si="21"/>
        <v/>
      </c>
      <c r="AL493" s="11"/>
      <c r="AM493" s="11" t="str">
        <f t="shared" si="22"/>
        <v/>
      </c>
      <c r="AN493" s="11"/>
      <c r="AO493" s="11"/>
      <c r="AP493" s="11"/>
      <c r="AQ493" s="12"/>
      <c r="AR493" s="12" t="str">
        <f t="shared" si="23"/>
        <v/>
      </c>
      <c r="AS493" s="11"/>
    </row>
    <row r="494" spans="1:45" x14ac:dyDescent="0.2">
      <c r="A494" s="11"/>
      <c r="B494" s="11"/>
      <c r="C494" s="11"/>
      <c r="D494" s="11"/>
      <c r="E494" s="11"/>
      <c r="F494" s="11"/>
      <c r="G494" s="12"/>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3" t="str">
        <f t="shared" si="21"/>
        <v/>
      </c>
      <c r="AL494" s="11"/>
      <c r="AM494" s="11" t="str">
        <f t="shared" si="22"/>
        <v/>
      </c>
      <c r="AN494" s="11"/>
      <c r="AO494" s="11"/>
      <c r="AP494" s="11"/>
      <c r="AQ494" s="12"/>
      <c r="AR494" s="12" t="str">
        <f t="shared" si="23"/>
        <v/>
      </c>
      <c r="AS494" s="11"/>
    </row>
    <row r="495" spans="1:45" x14ac:dyDescent="0.2">
      <c r="A495" s="11"/>
      <c r="B495" s="11"/>
      <c r="C495" s="11"/>
      <c r="D495" s="11"/>
      <c r="E495" s="11"/>
      <c r="F495" s="11"/>
      <c r="G495" s="12"/>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3" t="str">
        <f t="shared" si="21"/>
        <v/>
      </c>
      <c r="AL495" s="11"/>
      <c r="AM495" s="11" t="str">
        <f t="shared" si="22"/>
        <v/>
      </c>
      <c r="AN495" s="11"/>
      <c r="AO495" s="11"/>
      <c r="AP495" s="11"/>
      <c r="AQ495" s="12"/>
      <c r="AR495" s="12" t="str">
        <f t="shared" si="23"/>
        <v/>
      </c>
      <c r="AS495" s="11"/>
    </row>
    <row r="496" spans="1:45" x14ac:dyDescent="0.2">
      <c r="A496" s="11"/>
      <c r="B496" s="11"/>
      <c r="C496" s="11"/>
      <c r="D496" s="11"/>
      <c r="E496" s="11"/>
      <c r="F496" s="11"/>
      <c r="G496" s="12"/>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3" t="str">
        <f t="shared" si="21"/>
        <v/>
      </c>
      <c r="AL496" s="11"/>
      <c r="AM496" s="11" t="str">
        <f t="shared" si="22"/>
        <v/>
      </c>
      <c r="AN496" s="11"/>
      <c r="AO496" s="11"/>
      <c r="AP496" s="11"/>
      <c r="AQ496" s="12"/>
      <c r="AR496" s="12" t="str">
        <f t="shared" si="23"/>
        <v/>
      </c>
      <c r="AS496" s="11"/>
    </row>
    <row r="497" spans="1:45" x14ac:dyDescent="0.2">
      <c r="A497" s="11"/>
      <c r="B497" s="11"/>
      <c r="C497" s="11"/>
      <c r="D497" s="11"/>
      <c r="E497" s="11"/>
      <c r="F497" s="11"/>
      <c r="G497" s="12"/>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3" t="str">
        <f t="shared" si="21"/>
        <v/>
      </c>
      <c r="AL497" s="11"/>
      <c r="AM497" s="11" t="str">
        <f t="shared" si="22"/>
        <v/>
      </c>
      <c r="AN497" s="11"/>
      <c r="AO497" s="11"/>
      <c r="AP497" s="11"/>
      <c r="AQ497" s="12"/>
      <c r="AR497" s="12" t="str">
        <f t="shared" si="23"/>
        <v/>
      </c>
      <c r="AS497" s="11"/>
    </row>
    <row r="498" spans="1:45" x14ac:dyDescent="0.2">
      <c r="A498" s="11"/>
      <c r="B498" s="11"/>
      <c r="C498" s="11"/>
      <c r="D498" s="11"/>
      <c r="E498" s="11"/>
      <c r="F498" s="11"/>
      <c r="G498" s="12"/>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3" t="str">
        <f t="shared" si="21"/>
        <v/>
      </c>
      <c r="AL498" s="11"/>
      <c r="AM498" s="11" t="str">
        <f t="shared" si="22"/>
        <v/>
      </c>
      <c r="AN498" s="11"/>
      <c r="AO498" s="11"/>
      <c r="AP498" s="11"/>
      <c r="AQ498" s="12"/>
      <c r="AR498" s="12" t="str">
        <f t="shared" si="23"/>
        <v/>
      </c>
      <c r="AS498" s="11"/>
    </row>
    <row r="499" spans="1:45" x14ac:dyDescent="0.2">
      <c r="A499" s="11"/>
      <c r="B499" s="11"/>
      <c r="C499" s="11"/>
      <c r="D499" s="11"/>
      <c r="E499" s="11"/>
      <c r="F499" s="11"/>
      <c r="G499" s="12"/>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3" t="str">
        <f t="shared" si="21"/>
        <v/>
      </c>
      <c r="AL499" s="11"/>
      <c r="AM499" s="11" t="str">
        <f t="shared" si="22"/>
        <v/>
      </c>
      <c r="AN499" s="11"/>
      <c r="AO499" s="11"/>
      <c r="AP499" s="11"/>
      <c r="AQ499" s="12"/>
      <c r="AR499" s="12" t="str">
        <f t="shared" si="23"/>
        <v/>
      </c>
      <c r="AS499" s="11"/>
    </row>
    <row r="500" spans="1:45" x14ac:dyDescent="0.2">
      <c r="A500" s="11"/>
      <c r="B500" s="11"/>
      <c r="C500" s="11"/>
      <c r="D500" s="11"/>
      <c r="E500" s="11"/>
      <c r="F500" s="11"/>
      <c r="G500" s="12"/>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3" t="str">
        <f t="shared" si="21"/>
        <v/>
      </c>
      <c r="AL500" s="11"/>
      <c r="AM500" s="11" t="str">
        <f t="shared" si="22"/>
        <v/>
      </c>
      <c r="AN500" s="11"/>
      <c r="AO500" s="11"/>
      <c r="AP500" s="11"/>
      <c r="AQ500" s="12"/>
      <c r="AR500" s="12" t="str">
        <f t="shared" si="23"/>
        <v/>
      </c>
      <c r="AS500" s="11"/>
    </row>
    <row r="501" spans="1:45" x14ac:dyDescent="0.2">
      <c r="A501" s="11"/>
      <c r="B501" s="11"/>
      <c r="C501" s="11"/>
      <c r="D501" s="11"/>
      <c r="E501" s="11"/>
      <c r="F501" s="11"/>
      <c r="G501" s="12"/>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3" t="str">
        <f t="shared" si="21"/>
        <v/>
      </c>
      <c r="AL501" s="11"/>
      <c r="AM501" s="11" t="str">
        <f t="shared" si="22"/>
        <v/>
      </c>
      <c r="AN501" s="11"/>
      <c r="AO501" s="11"/>
      <c r="AP501" s="11"/>
      <c r="AQ501" s="12"/>
      <c r="AR501" s="12" t="str">
        <f t="shared" si="23"/>
        <v/>
      </c>
      <c r="AS501" s="11"/>
    </row>
    <row r="502" spans="1:45" x14ac:dyDescent="0.2">
      <c r="A502" s="11"/>
      <c r="B502" s="11"/>
      <c r="C502" s="11"/>
      <c r="D502" s="11"/>
      <c r="E502" s="11"/>
      <c r="F502" s="11"/>
      <c r="G502" s="12"/>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3" t="str">
        <f t="shared" si="21"/>
        <v/>
      </c>
      <c r="AL502" s="11"/>
      <c r="AM502" s="11" t="str">
        <f t="shared" si="22"/>
        <v/>
      </c>
      <c r="AN502" s="11"/>
      <c r="AO502" s="11"/>
      <c r="AP502" s="11"/>
      <c r="AQ502" s="12"/>
      <c r="AR502" s="12" t="str">
        <f t="shared" si="23"/>
        <v/>
      </c>
      <c r="AS502" s="11"/>
    </row>
    <row r="503" spans="1:45" x14ac:dyDescent="0.2">
      <c r="A503" s="11"/>
      <c r="B503" s="11"/>
      <c r="C503" s="11"/>
      <c r="D503" s="11"/>
      <c r="E503" s="11"/>
      <c r="F503" s="11"/>
      <c r="G503" s="12"/>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3" t="str">
        <f t="shared" si="21"/>
        <v/>
      </c>
      <c r="AL503" s="11"/>
      <c r="AM503" s="11" t="str">
        <f t="shared" si="22"/>
        <v/>
      </c>
      <c r="AN503" s="11"/>
      <c r="AO503" s="11"/>
      <c r="AP503" s="11"/>
      <c r="AQ503" s="12"/>
      <c r="AR503" s="12" t="str">
        <f t="shared" si="23"/>
        <v/>
      </c>
      <c r="AS503" s="11"/>
    </row>
    <row r="504" spans="1:45" x14ac:dyDescent="0.2">
      <c r="A504" s="11"/>
      <c r="B504" s="11"/>
      <c r="C504" s="11"/>
      <c r="D504" s="11"/>
      <c r="E504" s="11"/>
      <c r="F504" s="11"/>
      <c r="G504" s="12"/>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3" t="str">
        <f t="shared" si="21"/>
        <v/>
      </c>
      <c r="AL504" s="11"/>
      <c r="AM504" s="11" t="str">
        <f t="shared" si="22"/>
        <v/>
      </c>
      <c r="AN504" s="11"/>
      <c r="AO504" s="11"/>
      <c r="AP504" s="11"/>
      <c r="AQ504" s="12"/>
      <c r="AR504" s="12" t="str">
        <f t="shared" si="23"/>
        <v/>
      </c>
      <c r="AS504" s="11"/>
    </row>
    <row r="505" spans="1:45" x14ac:dyDescent="0.2">
      <c r="A505" s="11"/>
      <c r="B505" s="11"/>
      <c r="C505" s="11"/>
      <c r="D505" s="11"/>
      <c r="E505" s="11"/>
      <c r="F505" s="11"/>
      <c r="G505" s="12"/>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3" t="str">
        <f t="shared" si="21"/>
        <v/>
      </c>
      <c r="AL505" s="11"/>
      <c r="AM505" s="11" t="str">
        <f t="shared" si="22"/>
        <v/>
      </c>
      <c r="AN505" s="11"/>
      <c r="AO505" s="11"/>
      <c r="AP505" s="11"/>
      <c r="AQ505" s="12"/>
      <c r="AR505" s="12" t="str">
        <f t="shared" si="23"/>
        <v/>
      </c>
      <c r="AS505" s="11"/>
    </row>
  </sheetData>
  <autoFilter ref="A4:AS505" xr:uid="{00000000-0009-0000-0000-000001000000}"/>
  <mergeCells count="2">
    <mergeCell ref="A3:AJ3"/>
    <mergeCell ref="AL3:AS3"/>
  </mergeCells>
  <dataValidations count="12">
    <dataValidation type="list" allowBlank="1" showErrorMessage="1" errorTitle="Pick from list" error="Please choose a value from the dropdown." sqref="E5:E505" xr:uid="{00000000-0002-0000-0100-000000000000}">
      <formula1>"Built in-house (API/agent/automation/app),Embedded AI feature in SaaS,Standalone AI tool/platform,Dev tooling (coding assistant / CI-CD / IDE),Other"</formula1>
      <formula2>0</formula2>
    </dataValidation>
    <dataValidation type="list" allowBlank="1" showErrorMessage="1" errorTitle="Pick from list" error="Please choose a value from the dropdown." sqref="F5:F505" xr:uid="{00000000-0002-0000-0100-000001000000}">
      <formula1>"Production,Pilot / POC,In development,Retired"</formula1>
      <formula2>0</formula2>
    </dataValidation>
    <dataValidation type="list" allowBlank="1" showErrorMessage="1" errorTitle="Pick from list" error="Please choose a value from the dropdown." sqref="L5:L505" xr:uid="{00000000-0002-0000-0100-000002000000}">
      <formula1>"API,MCP,Embedded SaaS feature,SDK / library,Browser or desktop app,In-house hosted model,Other"</formula1>
      <formula2>0</formula2>
    </dataValidation>
    <dataValidation type="list" allowBlank="1" showErrorMessage="1" errorTitle="Pick from list" error="Please choose a value from the dropdown." sqref="M5:M505 AL5:AL505 AH5:AI505 AE5:AE505 Y5:Z505 T5:W505" xr:uid="{00000000-0002-0000-0100-000003000000}">
      <formula1>"Yes,No,Unsure"</formula1>
      <formula2>0</formula2>
    </dataValidation>
    <dataValidation type="list" allowBlank="1" showErrorMessage="1" errorTitle="Pick from list" error="Please choose a value from the dropdown." sqref="Q5:Q505" xr:uid="{00000000-0002-0000-0100-000004000000}">
      <formula1>"Yes,No,Partial,N/A"</formula1>
      <formula2>0</formula2>
    </dataValidation>
    <dataValidation type="list" allowBlank="1" showErrorMessage="1" errorTitle="Pick from list" error="Please choose a value from the dropdown." sqref="S5:S505" xr:uid="{00000000-0002-0000-0100-000005000000}">
      <formula1>"Private / enterprise,Public / consumer,Unsure"</formula1>
      <formula2>0</formula2>
    </dataValidation>
    <dataValidation type="list" allowBlank="1" showErrorMessage="1" errorTitle="Pick from list" error="Please choose a value from the dropdown." sqref="AA5:AA505" xr:uid="{00000000-0002-0000-0100-00000C000000}">
      <formula1>"Contractually prohibited,Opt-out configured,Not prohibited,Unknown"</formula1>
      <formula2>0</formula2>
    </dataValidation>
    <dataValidation type="list" allowBlank="1" showErrorMessage="1" errorTitle="Pick from list" error="Please choose a value from the dropdown." sqref="AB5:AB505" xr:uid="{00000000-0002-0000-0100-00000D000000}">
      <formula1>"Yes,No,Partial,Unknown"</formula1>
      <formula2>0</formula2>
    </dataValidation>
    <dataValidation type="list" allowBlank="1" showErrorMessage="1" errorTitle="Pick from list" error="Please choose a value from the dropdown." sqref="AD5:AD505" xr:uid="{00000000-0002-0000-0100-00000E000000}">
      <formula1>"Internal staff,Clients / customers,Buyers / sellers / consumers,Automated - no users,Mixed"</formula1>
      <formula2>0</formula2>
    </dataValidation>
    <dataValidation type="list" allowBlank="1" showErrorMessage="1" errorTitle="Pick from list" error="Please choose a value from the dropdown." sqref="AF5:AF505" xr:uid="{00000000-0002-0000-0100-000010000000}">
      <formula1>"Human reviews before action,Human reviews after action,Fully automated,N/A"</formula1>
      <formula2>0</formula2>
    </dataValidation>
    <dataValidation type="list" allowBlank="1" showErrorMessage="1" errorTitle="Pick from list" error="Please choose a value from the dropdown." sqref="AN5:AN505" xr:uid="{00000000-0002-0000-0100-000014000000}">
      <formula1>"Low,Medium,High"</formula1>
      <formula2>0</formula2>
    </dataValidation>
    <dataValidation type="list" allowBlank="1" showErrorMessage="1" errorTitle="Pick from list" error="Please choose a value from the dropdown." sqref="AO5:AO505" xr:uid="{00000000-0002-0000-0100-000015000000}">
      <formula1>"Yes,No,TBD"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showGridLines="0" zoomScaleNormal="100" workbookViewId="0">
      <pane ySplit="1" topLeftCell="A19" activePane="bottomLeft" state="frozen"/>
      <selection pane="bottomLeft"/>
    </sheetView>
  </sheetViews>
  <sheetFormatPr baseColWidth="10" defaultColWidth="8.5" defaultRowHeight="15" x14ac:dyDescent="0.2"/>
  <cols>
    <col min="1" max="1" width="34" customWidth="1"/>
    <col min="2" max="2" width="14" customWidth="1"/>
    <col min="3" max="3" width="10" customWidth="1"/>
    <col min="4" max="4" width="62" customWidth="1"/>
    <col min="5" max="5" width="46" customWidth="1"/>
    <col min="6" max="6" width="40" customWidth="1"/>
  </cols>
  <sheetData>
    <row r="1" spans="1:6" x14ac:dyDescent="0.2">
      <c r="A1" s="14" t="s">
        <v>96</v>
      </c>
      <c r="B1" s="14" t="s">
        <v>97</v>
      </c>
      <c r="C1" s="14" t="s">
        <v>98</v>
      </c>
      <c r="D1" s="14" t="s">
        <v>99</v>
      </c>
      <c r="E1" s="14" t="s">
        <v>100</v>
      </c>
      <c r="F1" s="14" t="s">
        <v>101</v>
      </c>
    </row>
    <row r="2" spans="1:6" x14ac:dyDescent="0.2">
      <c r="A2" s="15" t="s">
        <v>26</v>
      </c>
      <c r="B2" s="15" t="s">
        <v>102</v>
      </c>
      <c r="C2" s="15" t="s">
        <v>82</v>
      </c>
      <c r="D2" s="15" t="s">
        <v>103</v>
      </c>
      <c r="E2" s="15" t="s">
        <v>104</v>
      </c>
      <c r="F2" s="15" t="s">
        <v>105</v>
      </c>
    </row>
    <row r="3" spans="1:6" x14ac:dyDescent="0.2">
      <c r="A3" s="15" t="s">
        <v>102</v>
      </c>
      <c r="B3" s="15" t="s">
        <v>102</v>
      </c>
      <c r="C3" s="15" t="s">
        <v>85</v>
      </c>
      <c r="D3" s="15" t="s">
        <v>106</v>
      </c>
      <c r="E3" s="15" t="s">
        <v>104</v>
      </c>
      <c r="F3" s="15" t="s">
        <v>107</v>
      </c>
    </row>
    <row r="4" spans="1:6" ht="26" x14ac:dyDescent="0.2">
      <c r="A4" s="15" t="s">
        <v>108</v>
      </c>
      <c r="B4" s="15" t="s">
        <v>102</v>
      </c>
      <c r="C4" s="15" t="s">
        <v>85</v>
      </c>
      <c r="D4" s="15" t="s">
        <v>109</v>
      </c>
      <c r="E4" s="15" t="s">
        <v>104</v>
      </c>
      <c r="F4" s="15" t="s">
        <v>110</v>
      </c>
    </row>
    <row r="5" spans="1:6" x14ac:dyDescent="0.2">
      <c r="A5" s="15" t="s">
        <v>111</v>
      </c>
      <c r="B5" s="15" t="s">
        <v>102</v>
      </c>
      <c r="C5" s="15" t="s">
        <v>85</v>
      </c>
      <c r="D5" s="15" t="s">
        <v>112</v>
      </c>
      <c r="E5" s="15" t="s">
        <v>104</v>
      </c>
      <c r="F5" s="15" t="s">
        <v>113</v>
      </c>
    </row>
    <row r="6" spans="1:6" ht="39" x14ac:dyDescent="0.2">
      <c r="A6" s="15" t="s">
        <v>114</v>
      </c>
      <c r="B6" s="15" t="s">
        <v>102</v>
      </c>
      <c r="C6" s="15" t="s">
        <v>85</v>
      </c>
      <c r="D6" s="15" t="s">
        <v>115</v>
      </c>
      <c r="E6" s="15" t="s">
        <v>116</v>
      </c>
      <c r="F6" s="15" t="s">
        <v>105</v>
      </c>
    </row>
    <row r="7" spans="1:6" x14ac:dyDescent="0.2">
      <c r="A7" s="15" t="s">
        <v>117</v>
      </c>
      <c r="B7" s="15" t="s">
        <v>102</v>
      </c>
      <c r="C7" s="15" t="s">
        <v>85</v>
      </c>
      <c r="D7" s="15" t="s">
        <v>118</v>
      </c>
      <c r="E7" s="15" t="s">
        <v>119</v>
      </c>
      <c r="F7" s="15" t="s">
        <v>120</v>
      </c>
    </row>
    <row r="8" spans="1:6" x14ac:dyDescent="0.2">
      <c r="A8" s="15" t="s">
        <v>32</v>
      </c>
      <c r="B8" s="15" t="s">
        <v>102</v>
      </c>
      <c r="C8" s="15" t="s">
        <v>82</v>
      </c>
      <c r="D8" s="15" t="s">
        <v>121</v>
      </c>
      <c r="E8" s="15" t="s">
        <v>104</v>
      </c>
      <c r="F8" s="15" t="s">
        <v>122</v>
      </c>
    </row>
    <row r="9" spans="1:6" x14ac:dyDescent="0.2">
      <c r="A9" s="15" t="s">
        <v>123</v>
      </c>
      <c r="B9" s="15" t="s">
        <v>102</v>
      </c>
      <c r="C9" s="15" t="s">
        <v>85</v>
      </c>
      <c r="D9" s="15" t="s">
        <v>124</v>
      </c>
      <c r="E9" s="15" t="s">
        <v>104</v>
      </c>
      <c r="F9" s="15" t="s">
        <v>125</v>
      </c>
    </row>
    <row r="10" spans="1:6" x14ac:dyDescent="0.2">
      <c r="A10" s="15" t="s">
        <v>126</v>
      </c>
      <c r="B10" s="15" t="s">
        <v>102</v>
      </c>
      <c r="C10" s="15" t="s">
        <v>85</v>
      </c>
      <c r="D10" s="15" t="s">
        <v>124</v>
      </c>
      <c r="E10" s="15" t="s">
        <v>104</v>
      </c>
      <c r="F10" s="15" t="s">
        <v>107</v>
      </c>
    </row>
    <row r="11" spans="1:6" x14ac:dyDescent="0.2">
      <c r="A11" s="15" t="s">
        <v>127</v>
      </c>
      <c r="B11" s="15" t="s">
        <v>102</v>
      </c>
      <c r="C11" s="15" t="s">
        <v>85</v>
      </c>
      <c r="D11" s="15" t="s">
        <v>128</v>
      </c>
      <c r="E11" s="15" t="s">
        <v>104</v>
      </c>
      <c r="F11" s="15" t="s">
        <v>129</v>
      </c>
    </row>
    <row r="12" spans="1:6" ht="26" x14ac:dyDescent="0.2">
      <c r="A12" s="15" t="s">
        <v>36</v>
      </c>
      <c r="B12" s="15" t="s">
        <v>102</v>
      </c>
      <c r="C12" s="15" t="s">
        <v>82</v>
      </c>
      <c r="D12" s="15" t="s">
        <v>130</v>
      </c>
      <c r="E12" s="15" t="s">
        <v>104</v>
      </c>
      <c r="F12" s="15" t="s">
        <v>105</v>
      </c>
    </row>
    <row r="13" spans="1:6" ht="26" x14ac:dyDescent="0.2">
      <c r="A13" s="15" t="s">
        <v>131</v>
      </c>
      <c r="B13" s="15" t="s">
        <v>102</v>
      </c>
      <c r="C13" s="15" t="s">
        <v>85</v>
      </c>
      <c r="D13" s="15" t="s">
        <v>132</v>
      </c>
      <c r="E13" s="15" t="s">
        <v>133</v>
      </c>
      <c r="F13" s="15" t="s">
        <v>129</v>
      </c>
    </row>
    <row r="14" spans="1:6" ht="26" x14ac:dyDescent="0.2">
      <c r="A14" s="15" t="s">
        <v>134</v>
      </c>
      <c r="B14" s="15" t="s">
        <v>102</v>
      </c>
      <c r="C14" s="15" t="s">
        <v>85</v>
      </c>
      <c r="D14" s="15" t="s">
        <v>135</v>
      </c>
      <c r="E14" s="15" t="s">
        <v>136</v>
      </c>
      <c r="F14" s="15" t="s">
        <v>137</v>
      </c>
    </row>
    <row r="15" spans="1:6" x14ac:dyDescent="0.2">
      <c r="A15" s="15" t="s">
        <v>39</v>
      </c>
      <c r="B15" s="15" t="s">
        <v>102</v>
      </c>
      <c r="C15" s="15" t="s">
        <v>82</v>
      </c>
      <c r="D15" s="15" t="s">
        <v>138</v>
      </c>
      <c r="E15" s="15" t="s">
        <v>104</v>
      </c>
      <c r="F15" s="15" t="s">
        <v>105</v>
      </c>
    </row>
    <row r="16" spans="1:6" x14ac:dyDescent="0.2">
      <c r="A16" s="15" t="s">
        <v>40</v>
      </c>
      <c r="B16" s="15" t="s">
        <v>102</v>
      </c>
      <c r="C16" s="15" t="s">
        <v>82</v>
      </c>
      <c r="D16" s="15" t="s">
        <v>139</v>
      </c>
      <c r="E16" s="15" t="s">
        <v>104</v>
      </c>
      <c r="F16" s="15" t="s">
        <v>140</v>
      </c>
    </row>
    <row r="17" spans="1:6" x14ac:dyDescent="0.2">
      <c r="A17" s="15" t="s">
        <v>41</v>
      </c>
      <c r="B17" s="15" t="s">
        <v>102</v>
      </c>
      <c r="C17" s="15" t="s">
        <v>82</v>
      </c>
      <c r="D17" s="15" t="s">
        <v>141</v>
      </c>
      <c r="E17" s="15" t="s">
        <v>104</v>
      </c>
      <c r="F17" s="15" t="s">
        <v>140</v>
      </c>
    </row>
    <row r="18" spans="1:6" x14ac:dyDescent="0.2">
      <c r="A18" s="15" t="s">
        <v>142</v>
      </c>
      <c r="B18" s="15" t="s">
        <v>102</v>
      </c>
      <c r="C18" s="15" t="s">
        <v>85</v>
      </c>
      <c r="D18" s="15" t="s">
        <v>143</v>
      </c>
      <c r="E18" s="15" t="s">
        <v>144</v>
      </c>
      <c r="F18" s="15" t="s">
        <v>145</v>
      </c>
    </row>
    <row r="19" spans="1:6" ht="26" x14ac:dyDescent="0.2">
      <c r="A19" s="15" t="s">
        <v>43</v>
      </c>
      <c r="B19" s="15" t="s">
        <v>102</v>
      </c>
      <c r="C19" s="15" t="s">
        <v>82</v>
      </c>
      <c r="D19" s="15" t="s">
        <v>146</v>
      </c>
      <c r="E19" s="15" t="s">
        <v>104</v>
      </c>
      <c r="F19" s="15" t="s">
        <v>145</v>
      </c>
    </row>
    <row r="20" spans="1:6" x14ac:dyDescent="0.2">
      <c r="A20" s="15" t="s">
        <v>147</v>
      </c>
      <c r="B20" s="15" t="s">
        <v>102</v>
      </c>
      <c r="C20" s="15" t="s">
        <v>85</v>
      </c>
      <c r="D20" s="15" t="s">
        <v>148</v>
      </c>
      <c r="E20" s="15" t="s">
        <v>149</v>
      </c>
      <c r="F20" s="15" t="s">
        <v>150</v>
      </c>
    </row>
    <row r="21" spans="1:6" x14ac:dyDescent="0.2">
      <c r="A21" s="15" t="s">
        <v>151</v>
      </c>
      <c r="B21" s="15" t="s">
        <v>102</v>
      </c>
      <c r="C21" s="15" t="s">
        <v>85</v>
      </c>
      <c r="D21" s="15" t="s">
        <v>152</v>
      </c>
      <c r="E21" s="15" t="s">
        <v>136</v>
      </c>
      <c r="F21" s="15" t="s">
        <v>153</v>
      </c>
    </row>
    <row r="22" spans="1:6" x14ac:dyDescent="0.2">
      <c r="A22" s="15" t="s">
        <v>154</v>
      </c>
      <c r="B22" s="15" t="s">
        <v>102</v>
      </c>
      <c r="C22" s="15" t="s">
        <v>85</v>
      </c>
      <c r="D22" s="15" t="s">
        <v>155</v>
      </c>
      <c r="E22" s="15" t="s">
        <v>136</v>
      </c>
      <c r="F22" s="15" t="s">
        <v>156</v>
      </c>
    </row>
    <row r="23" spans="1:6" x14ac:dyDescent="0.2">
      <c r="A23" s="15" t="s">
        <v>157</v>
      </c>
      <c r="B23" s="15" t="s">
        <v>102</v>
      </c>
      <c r="C23" s="15" t="s">
        <v>85</v>
      </c>
      <c r="D23" s="15" t="s">
        <v>158</v>
      </c>
      <c r="E23" s="15" t="s">
        <v>136</v>
      </c>
      <c r="F23" s="15" t="s">
        <v>159</v>
      </c>
    </row>
    <row r="24" spans="1:6" ht="26" x14ac:dyDescent="0.2">
      <c r="A24" s="15" t="s">
        <v>160</v>
      </c>
      <c r="B24" s="15" t="s">
        <v>102</v>
      </c>
      <c r="C24" s="15" t="s">
        <v>85</v>
      </c>
      <c r="D24" s="15" t="s">
        <v>161</v>
      </c>
      <c r="E24" s="15" t="s">
        <v>136</v>
      </c>
      <c r="F24" s="15" t="s">
        <v>162</v>
      </c>
    </row>
    <row r="25" spans="1:6" x14ac:dyDescent="0.2">
      <c r="A25" s="15" t="s">
        <v>49</v>
      </c>
      <c r="B25" s="15" t="s">
        <v>102</v>
      </c>
      <c r="C25" s="15" t="s">
        <v>82</v>
      </c>
      <c r="D25" s="15" t="s">
        <v>163</v>
      </c>
      <c r="E25" s="15" t="s">
        <v>104</v>
      </c>
      <c r="F25" s="15" t="s">
        <v>105</v>
      </c>
    </row>
    <row r="26" spans="1:6" x14ac:dyDescent="0.2">
      <c r="A26" s="15" t="s">
        <v>164</v>
      </c>
      <c r="B26" s="15" t="s">
        <v>102</v>
      </c>
      <c r="C26" s="15" t="s">
        <v>85</v>
      </c>
      <c r="D26" s="15" t="s">
        <v>165</v>
      </c>
      <c r="E26" s="15" t="s">
        <v>136</v>
      </c>
      <c r="F26" s="15" t="s">
        <v>105</v>
      </c>
    </row>
    <row r="27" spans="1:6" x14ac:dyDescent="0.2">
      <c r="A27" s="15" t="s">
        <v>166</v>
      </c>
      <c r="B27" s="15" t="s">
        <v>102</v>
      </c>
      <c r="C27" s="15" t="s">
        <v>85</v>
      </c>
      <c r="D27" s="15" t="s">
        <v>167</v>
      </c>
      <c r="E27" s="15" t="s">
        <v>136</v>
      </c>
      <c r="F27" s="15" t="s">
        <v>168</v>
      </c>
    </row>
    <row r="28" spans="1:6" ht="26" x14ac:dyDescent="0.2">
      <c r="A28" s="15" t="s">
        <v>52</v>
      </c>
      <c r="B28" s="15" t="s">
        <v>102</v>
      </c>
      <c r="C28" s="15" t="s">
        <v>82</v>
      </c>
      <c r="D28" s="15" t="s">
        <v>169</v>
      </c>
      <c r="E28" s="15" t="s">
        <v>170</v>
      </c>
      <c r="F28" s="15" t="s">
        <v>171</v>
      </c>
    </row>
    <row r="29" spans="1:6" x14ac:dyDescent="0.2">
      <c r="A29" s="15" t="s">
        <v>172</v>
      </c>
      <c r="B29" s="15" t="s">
        <v>102</v>
      </c>
      <c r="C29" s="15" t="s">
        <v>85</v>
      </c>
      <c r="D29" s="15" t="s">
        <v>173</v>
      </c>
      <c r="E29" s="15" t="s">
        <v>174</v>
      </c>
      <c r="F29" s="15" t="s">
        <v>175</v>
      </c>
    </row>
    <row r="30" spans="1:6" x14ac:dyDescent="0.2">
      <c r="A30" s="15" t="s">
        <v>54</v>
      </c>
      <c r="B30" s="15" t="s">
        <v>102</v>
      </c>
      <c r="C30" s="15" t="s">
        <v>82</v>
      </c>
      <c r="D30" s="15" t="s">
        <v>176</v>
      </c>
      <c r="E30" s="15" t="s">
        <v>104</v>
      </c>
      <c r="F30" s="15" t="s">
        <v>175</v>
      </c>
    </row>
    <row r="31" spans="1:6" ht="26" x14ac:dyDescent="0.2">
      <c r="A31" s="15" t="s">
        <v>177</v>
      </c>
      <c r="B31" s="15" t="s">
        <v>102</v>
      </c>
      <c r="C31" s="15" t="s">
        <v>85</v>
      </c>
      <c r="D31" s="15" t="s">
        <v>178</v>
      </c>
      <c r="E31" s="15" t="s">
        <v>179</v>
      </c>
      <c r="F31" s="15" t="s">
        <v>180</v>
      </c>
    </row>
    <row r="32" spans="1:6" ht="26" x14ac:dyDescent="0.2">
      <c r="A32" s="15" t="s">
        <v>181</v>
      </c>
      <c r="B32" s="15" t="s">
        <v>102</v>
      </c>
      <c r="C32" s="15" t="s">
        <v>85</v>
      </c>
      <c r="D32" s="15" t="s">
        <v>182</v>
      </c>
      <c r="E32" s="15" t="s">
        <v>136</v>
      </c>
      <c r="F32" s="15" t="s">
        <v>183</v>
      </c>
    </row>
    <row r="33" spans="1:6" ht="26" x14ac:dyDescent="0.2">
      <c r="A33" s="15" t="s">
        <v>184</v>
      </c>
      <c r="B33" s="15" t="s">
        <v>102</v>
      </c>
      <c r="C33" s="15" t="s">
        <v>85</v>
      </c>
      <c r="D33" s="15" t="s">
        <v>185</v>
      </c>
      <c r="E33" s="15" t="s">
        <v>186</v>
      </c>
      <c r="F33" s="15" t="s">
        <v>187</v>
      </c>
    </row>
    <row r="34" spans="1:6" ht="26" x14ac:dyDescent="0.2">
      <c r="A34" s="15" t="s">
        <v>58</v>
      </c>
      <c r="B34" s="15" t="s">
        <v>102</v>
      </c>
      <c r="C34" s="15" t="s">
        <v>82</v>
      </c>
      <c r="D34" s="15" t="s">
        <v>188</v>
      </c>
      <c r="E34" s="15" t="s">
        <v>104</v>
      </c>
      <c r="F34" s="15" t="s">
        <v>189</v>
      </c>
    </row>
    <row r="35" spans="1:6" ht="26" x14ac:dyDescent="0.2">
      <c r="A35" s="15" t="s">
        <v>59</v>
      </c>
      <c r="B35" s="15" t="s">
        <v>102</v>
      </c>
      <c r="C35" s="15" t="s">
        <v>82</v>
      </c>
      <c r="D35" s="15" t="s">
        <v>190</v>
      </c>
      <c r="E35" s="15" t="s">
        <v>136</v>
      </c>
      <c r="F35" s="15" t="s">
        <v>191</v>
      </c>
    </row>
    <row r="36" spans="1:6" x14ac:dyDescent="0.2">
      <c r="A36" s="15" t="s">
        <v>192</v>
      </c>
      <c r="B36" s="15" t="s">
        <v>102</v>
      </c>
      <c r="C36" s="15" t="s">
        <v>85</v>
      </c>
      <c r="D36" s="15" t="s">
        <v>193</v>
      </c>
      <c r="E36" s="15" t="s">
        <v>136</v>
      </c>
      <c r="F36" s="15" t="s">
        <v>105</v>
      </c>
    </row>
    <row r="37" spans="1:6" x14ac:dyDescent="0.2">
      <c r="A37" s="15" t="s">
        <v>61</v>
      </c>
      <c r="B37" s="15" t="s">
        <v>102</v>
      </c>
      <c r="C37" s="15" t="s">
        <v>82</v>
      </c>
      <c r="D37" s="15" t="s">
        <v>194</v>
      </c>
      <c r="E37" s="15" t="s">
        <v>104</v>
      </c>
      <c r="F37" s="15" t="s">
        <v>195</v>
      </c>
    </row>
    <row r="38" spans="1:6" x14ac:dyDescent="0.2">
      <c r="A38" s="15" t="s">
        <v>62</v>
      </c>
      <c r="B38" s="15" t="s">
        <v>196</v>
      </c>
      <c r="C38" s="15" t="s">
        <v>82</v>
      </c>
      <c r="D38" s="15" t="s">
        <v>197</v>
      </c>
      <c r="E38" s="15" t="s">
        <v>104</v>
      </c>
      <c r="F38" s="15" t="s">
        <v>198</v>
      </c>
    </row>
    <row r="39" spans="1:6" x14ac:dyDescent="0.2">
      <c r="A39" s="15" t="s">
        <v>63</v>
      </c>
      <c r="B39" s="15" t="s">
        <v>199</v>
      </c>
      <c r="C39" s="15" t="s">
        <v>82</v>
      </c>
      <c r="D39" s="15" t="s">
        <v>200</v>
      </c>
      <c r="E39" s="15" t="s">
        <v>136</v>
      </c>
      <c r="F39" s="15" t="s">
        <v>105</v>
      </c>
    </row>
    <row r="40" spans="1:6" x14ac:dyDescent="0.2">
      <c r="A40" s="15" t="s">
        <v>64</v>
      </c>
      <c r="B40" s="15" t="s">
        <v>199</v>
      </c>
      <c r="C40" s="15" t="s">
        <v>82</v>
      </c>
      <c r="D40" s="15" t="s">
        <v>201</v>
      </c>
      <c r="E40" s="15" t="s">
        <v>104</v>
      </c>
      <c r="F40" s="15" t="s">
        <v>202</v>
      </c>
    </row>
    <row r="41" spans="1:6" x14ac:dyDescent="0.2">
      <c r="A41" s="15" t="s">
        <v>65</v>
      </c>
      <c r="B41" s="15" t="s">
        <v>199</v>
      </c>
      <c r="C41" s="15" t="s">
        <v>82</v>
      </c>
      <c r="D41" s="15" t="s">
        <v>203</v>
      </c>
      <c r="E41" s="15" t="s">
        <v>204</v>
      </c>
      <c r="F41" s="15" t="s">
        <v>205</v>
      </c>
    </row>
    <row r="42" spans="1:6" x14ac:dyDescent="0.2">
      <c r="A42" s="15" t="s">
        <v>66</v>
      </c>
      <c r="B42" s="15" t="s">
        <v>199</v>
      </c>
      <c r="C42" s="15" t="s">
        <v>82</v>
      </c>
      <c r="D42" s="15" t="s">
        <v>206</v>
      </c>
      <c r="E42" s="15" t="s">
        <v>207</v>
      </c>
      <c r="F42" s="15" t="s">
        <v>208</v>
      </c>
    </row>
    <row r="43" spans="1:6" x14ac:dyDescent="0.2">
      <c r="A43" s="15" t="s">
        <v>67</v>
      </c>
      <c r="B43" s="15" t="s">
        <v>199</v>
      </c>
      <c r="C43" s="15" t="s">
        <v>82</v>
      </c>
      <c r="D43" s="15" t="s">
        <v>209</v>
      </c>
      <c r="E43" s="15" t="s">
        <v>104</v>
      </c>
      <c r="F43" s="15" t="s">
        <v>105</v>
      </c>
    </row>
    <row r="44" spans="1:6" x14ac:dyDescent="0.2">
      <c r="A44" s="15" t="s">
        <v>68</v>
      </c>
      <c r="B44" s="15" t="s">
        <v>199</v>
      </c>
      <c r="C44" s="15" t="s">
        <v>82</v>
      </c>
      <c r="D44" s="15" t="s">
        <v>210</v>
      </c>
      <c r="E44" s="15" t="s">
        <v>104</v>
      </c>
      <c r="F44" s="15" t="s">
        <v>105</v>
      </c>
    </row>
    <row r="45" spans="1:6" x14ac:dyDescent="0.2">
      <c r="A45" s="15" t="s">
        <v>19</v>
      </c>
      <c r="B45" s="15" t="s">
        <v>199</v>
      </c>
      <c r="C45" s="15" t="s">
        <v>82</v>
      </c>
      <c r="D45" s="15" t="s">
        <v>211</v>
      </c>
      <c r="E45" s="15" t="s">
        <v>104</v>
      </c>
      <c r="F45" s="15" t="s">
        <v>212</v>
      </c>
    </row>
    <row r="46" spans="1:6" x14ac:dyDescent="0.2">
      <c r="A46" s="15" t="s">
        <v>69</v>
      </c>
      <c r="B46" s="15" t="s">
        <v>199</v>
      </c>
      <c r="C46" s="15" t="s">
        <v>82</v>
      </c>
      <c r="D46" s="15" t="s">
        <v>209</v>
      </c>
      <c r="E46" s="15" t="s">
        <v>104</v>
      </c>
      <c r="F46" s="15" t="s">
        <v>213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41"/>
  <sheetViews>
    <sheetView showGridLines="0" zoomScaleNormal="100" workbookViewId="0"/>
  </sheetViews>
  <sheetFormatPr baseColWidth="10" defaultColWidth="8.5" defaultRowHeight="15" x14ac:dyDescent="0.2"/>
  <cols>
    <col min="1" max="1" width="3" customWidth="1"/>
    <col min="2" max="2" width="58" customWidth="1"/>
    <col min="3" max="3" width="14" customWidth="1"/>
  </cols>
  <sheetData>
    <row r="1" spans="2:3" ht="16" x14ac:dyDescent="0.2">
      <c r="B1" s="16" t="s">
        <v>214</v>
      </c>
    </row>
    <row r="3" spans="2:3" x14ac:dyDescent="0.2">
      <c r="B3" s="17" t="s">
        <v>215</v>
      </c>
      <c r="C3" s="18"/>
    </row>
    <row r="4" spans="2:3" x14ac:dyDescent="0.2">
      <c r="B4" s="19" t="s">
        <v>216</v>
      </c>
      <c r="C4" s="20">
        <f>COUNTA(Inventory!$C$6:$C$505)</f>
        <v>0</v>
      </c>
    </row>
    <row r="5" spans="2:3" x14ac:dyDescent="0.2">
      <c r="B5" s="19" t="s">
        <v>217</v>
      </c>
      <c r="C5" s="20">
        <f>COUNTIF(Inventory!$AK$6:$AK$505,"&gt;0")</f>
        <v>0</v>
      </c>
    </row>
    <row r="7" spans="2:3" x14ac:dyDescent="0.2">
      <c r="B7" s="17" t="s">
        <v>218</v>
      </c>
      <c r="C7" s="18"/>
    </row>
    <row r="8" spans="2:3" x14ac:dyDescent="0.2">
      <c r="B8" s="19" t="s">
        <v>219</v>
      </c>
      <c r="C8" s="20">
        <f>COUNTIF(Inventory!$F$6:$F$505,"Production")</f>
        <v>0</v>
      </c>
    </row>
    <row r="9" spans="2:3" x14ac:dyDescent="0.2">
      <c r="B9" s="19" t="s">
        <v>75</v>
      </c>
      <c r="C9" s="20">
        <f>COUNTIF(Inventory!$F$6:$F$505,"Pilot / POC")</f>
        <v>0</v>
      </c>
    </row>
    <row r="10" spans="2:3" x14ac:dyDescent="0.2">
      <c r="B10" s="19" t="s">
        <v>220</v>
      </c>
      <c r="C10" s="20">
        <f>COUNTIF(Inventory!$F$6:$F$505,"In development")</f>
        <v>0</v>
      </c>
    </row>
    <row r="11" spans="2:3" x14ac:dyDescent="0.2">
      <c r="B11" s="19" t="s">
        <v>221</v>
      </c>
      <c r="C11" s="20">
        <f>COUNTIF(Inventory!$F$6:$F$505,"Retired")</f>
        <v>0</v>
      </c>
    </row>
    <row r="13" spans="2:3" x14ac:dyDescent="0.2">
      <c r="B13" s="17" t="s">
        <v>222</v>
      </c>
      <c r="C13" s="18"/>
    </row>
    <row r="14" spans="2:3" x14ac:dyDescent="0.2">
      <c r="B14" s="19" t="s">
        <v>74</v>
      </c>
      <c r="C14" s="20">
        <f>COUNTIF(Inventory!$E$6:$E$505,"Built in-house (API/agent/automation/app)")</f>
        <v>0</v>
      </c>
    </row>
    <row r="15" spans="2:3" x14ac:dyDescent="0.2">
      <c r="B15" s="19" t="s">
        <v>223</v>
      </c>
      <c r="C15" s="20">
        <f>COUNTIF(Inventory!$E$6:$E$505,"Embedded AI feature in SaaS")</f>
        <v>0</v>
      </c>
    </row>
    <row r="16" spans="2:3" x14ac:dyDescent="0.2">
      <c r="B16" s="19" t="s">
        <v>224</v>
      </c>
      <c r="C16" s="20">
        <f>COUNTIF(Inventory!$E$6:$E$505,"Standalone AI tool/platform")</f>
        <v>0</v>
      </c>
    </row>
    <row r="17" spans="2:3" x14ac:dyDescent="0.2">
      <c r="B17" s="19" t="s">
        <v>225</v>
      </c>
      <c r="C17" s="20">
        <f>COUNTIF(Inventory!$E$6:$E$505,"Dev tooling (coding assistant / CI-CD / IDE)")</f>
        <v>0</v>
      </c>
    </row>
    <row r="18" spans="2:3" x14ac:dyDescent="0.2">
      <c r="B18" s="19" t="s">
        <v>226</v>
      </c>
      <c r="C18" s="20">
        <f>COUNTIF(Inventory!$E$6:$E$505,"Other")</f>
        <v>0</v>
      </c>
    </row>
    <row r="20" spans="2:3" x14ac:dyDescent="0.2">
      <c r="B20" s="17" t="s">
        <v>227</v>
      </c>
      <c r="C20" s="18"/>
    </row>
    <row r="21" spans="2:3" x14ac:dyDescent="0.2">
      <c r="B21" s="19" t="s">
        <v>228</v>
      </c>
      <c r="C21" s="20">
        <f>COUNTIF(Inventory!$T$6:$T$505,"Yes")</f>
        <v>0</v>
      </c>
    </row>
    <row r="22" spans="2:3" x14ac:dyDescent="0.2">
      <c r="B22" s="19" t="s">
        <v>229</v>
      </c>
      <c r="C22" s="20">
        <f>COUNTIF(Inventory!$W$6:$W$505,"Yes")</f>
        <v>0</v>
      </c>
    </row>
    <row r="23" spans="2:3" x14ac:dyDescent="0.2">
      <c r="B23" s="19" t="s">
        <v>230</v>
      </c>
      <c r="C23" s="20">
        <f>COUNTIF(Inventory!$Y$6:$Y$505,"Yes")</f>
        <v>0</v>
      </c>
    </row>
    <row r="24" spans="2:3" x14ac:dyDescent="0.2">
      <c r="B24" s="19" t="s">
        <v>231</v>
      </c>
      <c r="C24" s="20">
        <f>COUNTIF(Inventory!$AE$6:$AE$505,"Yes")</f>
        <v>0</v>
      </c>
    </row>
    <row r="25" spans="2:3" x14ac:dyDescent="0.2">
      <c r="B25" s="19" t="s">
        <v>232</v>
      </c>
      <c r="C25" s="20">
        <f>COUNTIF(Inventory!$M$6:$M$505,"Yes")</f>
        <v>0</v>
      </c>
    </row>
    <row r="26" spans="2:3" x14ac:dyDescent="0.2">
      <c r="B26" s="19" t="s">
        <v>233</v>
      </c>
      <c r="C26" s="20">
        <f>COUNTIF(Inventory!$AF$6:$AF$505,"Fully automated")</f>
        <v>0</v>
      </c>
    </row>
    <row r="27" spans="2:3" x14ac:dyDescent="0.2">
      <c r="B27" s="19" t="s">
        <v>234</v>
      </c>
      <c r="C27" s="20">
        <f>COUNTIF(Inventory!$S$6:$S$505,"Public / consumer")</f>
        <v>0</v>
      </c>
    </row>
    <row r="28" spans="2:3" x14ac:dyDescent="0.2">
      <c r="B28" s="19" t="s">
        <v>235</v>
      </c>
      <c r="C28" s="20">
        <f>COUNTIF(Inventory!$Z$6:$Z$505,"Yes")</f>
        <v>0</v>
      </c>
    </row>
    <row r="29" spans="2:3" x14ac:dyDescent="0.2">
      <c r="B29" s="19" t="s">
        <v>236</v>
      </c>
      <c r="C29" s="20">
        <f>COUNTIF(Inventory!$AA$6:$AA$505,"Unknown")+COUNTIF(Inventory!$AA$6:$AA$505,"Not prohibited")</f>
        <v>0</v>
      </c>
    </row>
    <row r="30" spans="2:3" x14ac:dyDescent="0.2">
      <c r="B30" s="19" t="s">
        <v>237</v>
      </c>
      <c r="C30" s="20">
        <f>COUNTIF(Inventory!$AM$6:$AM$505,"Review for High")</f>
        <v>0</v>
      </c>
    </row>
    <row r="32" spans="2:3" x14ac:dyDescent="0.2">
      <c r="B32" s="17" t="s">
        <v>238</v>
      </c>
      <c r="C32" s="18"/>
    </row>
    <row r="33" spans="2:3" x14ac:dyDescent="0.2">
      <c r="B33" s="19" t="s">
        <v>239</v>
      </c>
      <c r="C33" s="20">
        <f>COUNTIF(Inventory!$Q$6:$Q$505,"No")+COUNTIF(Inventory!$Q$6:$Q$505,"Partial")</f>
        <v>0</v>
      </c>
    </row>
    <row r="34" spans="2:3" x14ac:dyDescent="0.2">
      <c r="B34" s="19" t="s">
        <v>240</v>
      </c>
      <c r="C34" s="20">
        <f>COUNTIF(Inventory!$AB$6:$AB$505,"No")+COUNTIF(Inventory!$AB$6:$AB$505,"Partial")+COUNTIF(Inventory!$AB$6:$AB$505,"Unknown")</f>
        <v>0</v>
      </c>
    </row>
    <row r="35" spans="2:3" x14ac:dyDescent="0.2">
      <c r="B35" s="19" t="s">
        <v>241</v>
      </c>
      <c r="C35" s="20">
        <f>COUNTIF(Inventory!$AI$6:$AI$505,"No")</f>
        <v>0</v>
      </c>
    </row>
    <row r="37" spans="2:3" x14ac:dyDescent="0.2">
      <c r="B37" s="17" t="s">
        <v>242</v>
      </c>
      <c r="C37" s="18"/>
    </row>
    <row r="38" spans="2:3" x14ac:dyDescent="0.2">
      <c r="B38" s="19" t="s">
        <v>243</v>
      </c>
      <c r="C38" s="20">
        <f>COUNTIF(Inventory!$AN$6:$AN$505,"Low")</f>
        <v>0</v>
      </c>
    </row>
    <row r="39" spans="2:3" x14ac:dyDescent="0.2">
      <c r="B39" s="19" t="s">
        <v>244</v>
      </c>
      <c r="C39" s="20">
        <f>COUNTIF(Inventory!$AN$6:$AN$505,"Medium")</f>
        <v>0</v>
      </c>
    </row>
    <row r="40" spans="2:3" x14ac:dyDescent="0.2">
      <c r="B40" s="19" t="s">
        <v>245</v>
      </c>
      <c r="C40" s="20">
        <f>COUNTIF(Inventory!$AN$6:$AN$505,"High")</f>
        <v>0</v>
      </c>
    </row>
    <row r="41" spans="2:3" x14ac:dyDescent="0.2">
      <c r="B41" s="19" t="s">
        <v>246</v>
      </c>
      <c r="C41" s="20">
        <f>COUNTA(Inventory!$C$6:$C$505)-COUNTA(Inventory!$AN$6:$AN$505)</f>
        <v>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d2b1aad-8690-4edc-a7be-4dbbcacaeef5" xsi:nil="true"/>
    <lcf76f155ced4ddcb4097134ff3c332f xmlns="e1776c48-f56a-4e05-b504-1eb40c821b7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659667FEF5F0449C13ED21BC7947F5" ma:contentTypeVersion="17" ma:contentTypeDescription="Create a new document." ma:contentTypeScope="" ma:versionID="829303beba6ee3d0a37ef77b3f015c39">
  <xsd:schema xmlns:xsd="http://www.w3.org/2001/XMLSchema" xmlns:xs="http://www.w3.org/2001/XMLSchema" xmlns:p="http://schemas.microsoft.com/office/2006/metadata/properties" xmlns:ns2="e1776c48-f56a-4e05-b504-1eb40c821b75" xmlns:ns3="7d2b1aad-8690-4edc-a7be-4dbbcacaeef5" targetNamespace="http://schemas.microsoft.com/office/2006/metadata/properties" ma:root="true" ma:fieldsID="aa7712ef799ea1df0b2f75eecc302a81" ns2:_="" ns3:_="">
    <xsd:import namespace="e1776c48-f56a-4e05-b504-1eb40c821b75"/>
    <xsd:import namespace="7d2b1aad-8690-4edc-a7be-4dbbcacaeef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776c48-f56a-4e05-b504-1eb40c821b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c6c8273-5fde-447b-8dcf-88cc973407a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d2b1aad-8690-4edc-a7be-4dbbcacaeef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1ff181e-0449-4c31-8637-6da011453add}" ma:internalName="TaxCatchAll" ma:showField="CatchAllData" ma:web="7d2b1aad-8690-4edc-a7be-4dbbcacae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149421-BB6A-42F3-A692-68FF60BF86EC}">
  <ds:schemaRefs>
    <ds:schemaRef ds:uri="http://schemas.microsoft.com/sharepoint/v3/contenttype/forms"/>
  </ds:schemaRefs>
</ds:datastoreItem>
</file>

<file path=customXml/itemProps2.xml><?xml version="1.0" encoding="utf-8"?>
<ds:datastoreItem xmlns:ds="http://schemas.openxmlformats.org/officeDocument/2006/customXml" ds:itemID="{8618C913-0690-4FB0-BB2B-3B49BE4EA2C9}">
  <ds:schemaRefs>
    <ds:schemaRef ds:uri="http://www.w3.org/XML/1998/namespace"/>
    <ds:schemaRef ds:uri="http://schemas.microsoft.com/office/2006/documentManagement/types"/>
    <ds:schemaRef ds:uri="e1776c48-f56a-4e05-b504-1eb40c821b75"/>
    <ds:schemaRef ds:uri="http://schemas.microsoft.com/office/infopath/2007/PartnerControls"/>
    <ds:schemaRef ds:uri="http://purl.org/dc/dcmitype/"/>
    <ds:schemaRef ds:uri="http://schemas.openxmlformats.org/package/2006/metadata/core-properties"/>
    <ds:schemaRef ds:uri="http://purl.org/dc/terms/"/>
    <ds:schemaRef ds:uri="7d2b1aad-8690-4edc-a7be-4dbbcacaeef5"/>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AC39804-4E15-4D9A-B8EB-13F9D6ACE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776c48-f56a-4e05-b504-1eb40c821b75"/>
    <ds:schemaRef ds:uri="7d2b1aad-8690-4edc-a7be-4dbbcacae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Inventory</vt:lpstr>
      <vt:lpstr>Field Guide</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Esper Melhem</cp:lastModifiedBy>
  <cp:revision>0</cp:revision>
  <dcterms:created xsi:type="dcterms:W3CDTF">2026-10-06T20:15:56Z</dcterms:created>
  <dcterms:modified xsi:type="dcterms:W3CDTF">2026-10-15T13:33:12Z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0x010100A3659667FEF5F0449C13ED21BC7947F5</vt:lpwstr>
  </property>
  <property fmtid="{D5CDD505-2E9C-101B-9397-08002B2CF9AE}" pid="3" name="MediaServiceImageTags">
    <vt:lpwstr/>
  </property>
</Properties>
</file>